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git\sideprojects\"/>
    </mc:Choice>
  </mc:AlternateContent>
  <xr:revisionPtr revIDLastSave="0" documentId="13_ncr:101_{0B16BE19-5874-4001-A640-DE0C190B96E4}" xr6:coauthVersionLast="47" xr6:coauthVersionMax="47" xr10:uidLastSave="{00000000-0000-0000-0000-000000000000}"/>
  <bookViews>
    <workbookView xWindow="2760" yWindow="340" windowWidth="16200" windowHeight="17190" xr2:uid="{48A768F6-0B4D-4243-980F-871BE5B322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54" i="1"/>
  <c r="E119" i="1"/>
  <c r="F130" i="1" s="1" a="1"/>
  <c r="F130" i="1" s="1"/>
  <c r="K51" i="1"/>
  <c r="K29" i="1"/>
  <c r="K48" i="1"/>
  <c r="K7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K50" i="1"/>
  <c r="K52" i="1"/>
  <c r="K53" i="1"/>
  <c r="K55" i="1"/>
  <c r="K56" i="1"/>
  <c r="K57" i="1"/>
  <c r="K58" i="1"/>
  <c r="K59" i="1"/>
  <c r="K60" i="1"/>
  <c r="K61" i="1"/>
  <c r="K62" i="1"/>
  <c r="K63" i="1"/>
  <c r="K64" i="1"/>
  <c r="K65" i="1"/>
  <c r="K66" i="1"/>
  <c r="K68" i="1"/>
  <c r="K69" i="1"/>
  <c r="K70" i="1"/>
  <c r="K71" i="1"/>
  <c r="K72" i="1"/>
  <c r="K73" i="1"/>
  <c r="K74" i="1"/>
  <c r="K75" i="1"/>
  <c r="K76" i="1"/>
  <c r="K77" i="1"/>
  <c r="K78" i="1"/>
  <c r="K79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5" i="1"/>
  <c r="K16" i="1"/>
  <c r="K8" i="1"/>
  <c r="K9" i="1"/>
  <c r="K10" i="1"/>
  <c r="K11" i="1"/>
  <c r="K12" i="1"/>
  <c r="K13" i="1"/>
  <c r="K14" i="1"/>
  <c r="K17" i="1"/>
  <c r="K18" i="1"/>
  <c r="K19" i="1"/>
  <c r="K20" i="1"/>
  <c r="K21" i="1"/>
  <c r="K22" i="1"/>
  <c r="K23" i="1"/>
  <c r="K24" i="1"/>
  <c r="K25" i="1"/>
  <c r="K26" i="1"/>
  <c r="K27" i="1"/>
  <c r="K28" i="1"/>
  <c r="C119" i="1"/>
  <c r="C14" i="2"/>
  <c r="K108" i="1"/>
  <c r="K109" i="1"/>
  <c r="K110" i="1"/>
  <c r="K111" i="1"/>
  <c r="K112" i="1"/>
  <c r="K113" i="1"/>
  <c r="K114" i="1"/>
  <c r="K115" i="1"/>
  <c r="K116" i="1"/>
  <c r="D119" i="1"/>
  <c r="F119" i="1"/>
  <c r="G119" i="1"/>
  <c r="H119" i="1"/>
  <c r="G10" i="2"/>
  <c r="E130" i="1" l="1" a="1"/>
  <c r="E130" i="1" s="1"/>
  <c r="D120" i="1" a="1"/>
  <c r="D120" i="1" s="1"/>
  <c r="K119" i="1"/>
  <c r="D130" i="1" a="1"/>
  <c r="D130" i="1" s="1"/>
  <c r="C120" i="1" a="1"/>
  <c r="C120" i="1" s="1"/>
  <c r="E120" i="1" a="1"/>
  <c r="E120" i="1" s="1"/>
  <c r="Q14" i="1"/>
  <c r="O14" i="1"/>
  <c r="G130" i="1" a="1"/>
  <c r="G130" i="1" s="1"/>
  <c r="F120" i="1" a="1"/>
  <c r="F120" i="1" s="1"/>
  <c r="I130" i="1" a="1"/>
  <c r="I130" i="1" s="1"/>
  <c r="H120" i="1" a="1"/>
  <c r="H120" i="1" s="1"/>
  <c r="G120" i="1" a="1"/>
  <c r="G120" i="1" s="1"/>
  <c r="H130" i="1" a="1"/>
  <c r="H130" i="1" s="1"/>
  <c r="K117" i="1"/>
  <c r="P14" i="1"/>
  <c r="K118" i="1" l="1"/>
  <c r="J14" i="2"/>
  <c r="I14" i="2"/>
  <c r="H14" i="2"/>
  <c r="G14" i="2"/>
  <c r="E14" i="2"/>
  <c r="D14" i="2"/>
  <c r="B14" i="2"/>
  <c r="C23" i="2"/>
  <c r="J20" i="2"/>
  <c r="B19" i="2"/>
  <c r="B18" i="2"/>
  <c r="R14" i="1" l="1"/>
  <c r="A14" i="2" l="1"/>
  <c r="B7" i="2" l="1"/>
  <c r="B27" i="2" l="1"/>
  <c r="I7" i="2"/>
  <c r="G7" i="2"/>
  <c r="F10" i="2"/>
  <c r="B23" i="2"/>
  <c r="C7" i="2"/>
  <c r="J7" i="2"/>
  <c r="F7" i="2"/>
  <c r="A7" i="2"/>
  <c r="B28" i="2"/>
  <c r="H7" i="2"/>
  <c r="E7" i="2"/>
  <c r="D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<sst xmlns="http://schemas.openxmlformats.org/spreadsheetml/2006/main" count="311" uniqueCount="161">
  <si>
    <t>Order No:</t>
  </si>
  <si>
    <t>Name</t>
  </si>
  <si>
    <t>Full Savan</t>
  </si>
  <si>
    <t>Half Savan</t>
  </si>
  <si>
    <t>Number</t>
  </si>
  <si>
    <t>Chicken</t>
  </si>
  <si>
    <t>Extra Chicken</t>
  </si>
  <si>
    <t>Extra Notes</t>
  </si>
  <si>
    <t>Farzan</t>
  </si>
  <si>
    <t>Faizal</t>
  </si>
  <si>
    <t>Total</t>
  </si>
  <si>
    <t>Cost</t>
  </si>
  <si>
    <t>Wattalapam</t>
  </si>
  <si>
    <t>-</t>
  </si>
  <si>
    <t>Massi Sambal/Green Peas</t>
  </si>
  <si>
    <t>Payment Status</t>
  </si>
  <si>
    <t>Unpaid</t>
  </si>
  <si>
    <t>Customer Lookup</t>
  </si>
  <si>
    <t>Number:</t>
  </si>
  <si>
    <t>Akram</t>
  </si>
  <si>
    <t>Chicken Biryani</t>
  </si>
  <si>
    <t xml:space="preserve"> </t>
  </si>
  <si>
    <t>IF YOU SEARCH BY ORDER NUMBER:</t>
  </si>
  <si>
    <t>IF YOU SEARCH BY MOBILE NUMBER:</t>
  </si>
  <si>
    <t>Extra Wattalapam</t>
  </si>
  <si>
    <t>Extra Wattalpam</t>
  </si>
  <si>
    <t>Irshad</t>
  </si>
  <si>
    <t>Ramzy</t>
  </si>
  <si>
    <t>CHICKEN SAVAN</t>
  </si>
  <si>
    <t>Theva</t>
  </si>
  <si>
    <t>Faisal</t>
  </si>
  <si>
    <t>Riza</t>
  </si>
  <si>
    <t>Mohamed</t>
  </si>
  <si>
    <t>HALF G/P, 1 V/B, HALF RAITA, 2 F/CUTLETS, 1 DHAL</t>
  </si>
  <si>
    <t>Inshaf</t>
  </si>
  <si>
    <t>Full M/Savan</t>
  </si>
  <si>
    <t>Half M/Savan</t>
  </si>
  <si>
    <t>Half C/Savan</t>
  </si>
  <si>
    <t>Full C/Svan</t>
  </si>
  <si>
    <t xml:space="preserve">Ramadan 2025 </t>
  </si>
  <si>
    <t>MUTTON SAVAN</t>
  </si>
  <si>
    <t>Remaining</t>
  </si>
  <si>
    <t>Full C/Savan</t>
  </si>
  <si>
    <t>Remaing Items</t>
  </si>
  <si>
    <t>IRFAN</t>
  </si>
  <si>
    <t>Firoza</t>
  </si>
  <si>
    <t>Shanas</t>
  </si>
  <si>
    <t>Faizool Mosthofa</t>
  </si>
  <si>
    <t>Ramees</t>
  </si>
  <si>
    <t>Nawas Nawaz</t>
  </si>
  <si>
    <t>Aslam</t>
  </si>
  <si>
    <t>Marithar</t>
  </si>
  <si>
    <t>Nazeem</t>
  </si>
  <si>
    <t>Halima Anti</t>
  </si>
  <si>
    <t>Faisal Mosque</t>
  </si>
  <si>
    <t>Junaideen</t>
  </si>
  <si>
    <t>Fariz</t>
  </si>
  <si>
    <t>Nahu</t>
  </si>
  <si>
    <t>Zareen</t>
  </si>
  <si>
    <t>Mafaz</t>
  </si>
  <si>
    <t>Reezan c/o Shafos</t>
  </si>
  <si>
    <t>Farez</t>
  </si>
  <si>
    <t>Woseem c/o Kiyosi</t>
  </si>
  <si>
    <t>Fauz</t>
  </si>
  <si>
    <t>Akber</t>
  </si>
  <si>
    <t>Razaeel</t>
  </si>
  <si>
    <t>Hakeef</t>
  </si>
  <si>
    <t>Inshad</t>
  </si>
  <si>
    <t>Asfak</t>
  </si>
  <si>
    <t>Shan</t>
  </si>
  <si>
    <t>Gintey</t>
  </si>
  <si>
    <t>Malik</t>
  </si>
  <si>
    <t>Mehboob</t>
  </si>
  <si>
    <t>Nawas upstairs</t>
  </si>
  <si>
    <t>07929737231</t>
  </si>
  <si>
    <t>07904738358</t>
  </si>
  <si>
    <t>07932930928</t>
  </si>
  <si>
    <t>Shuhama Abdul Kadir</t>
  </si>
  <si>
    <t>07913902535</t>
  </si>
  <si>
    <t>Fathima</t>
  </si>
  <si>
    <t>07429959249</t>
  </si>
  <si>
    <t>ASK ABOUT WHAT IT SAYS IN THE NOTES</t>
  </si>
  <si>
    <t>W/C separate</t>
  </si>
  <si>
    <t>Imtiaz</t>
  </si>
  <si>
    <t>07894951535</t>
  </si>
  <si>
    <t>07983537012</t>
  </si>
  <si>
    <t>Ruzad</t>
  </si>
  <si>
    <t>Ithabith Naja</t>
  </si>
  <si>
    <t>07916138595</t>
  </si>
  <si>
    <t>07789914912</t>
  </si>
  <si>
    <t>Samith</t>
  </si>
  <si>
    <t>07794461409</t>
  </si>
  <si>
    <t>07801512520</t>
  </si>
  <si>
    <t>07894278301</t>
  </si>
  <si>
    <t>07920425804</t>
  </si>
  <si>
    <t>Lahir</t>
  </si>
  <si>
    <t>07545909193</t>
  </si>
  <si>
    <t>Shyam Watford</t>
  </si>
  <si>
    <t>7850523528</t>
  </si>
  <si>
    <t>07869826665</t>
  </si>
  <si>
    <t>07484860085</t>
  </si>
  <si>
    <t>Zarook</t>
  </si>
  <si>
    <t>07788368448</t>
  </si>
  <si>
    <t>07596895705</t>
  </si>
  <si>
    <t>07718928344</t>
  </si>
  <si>
    <t>Ankar</t>
  </si>
  <si>
    <t>07944145946</t>
  </si>
  <si>
    <t>07975743333</t>
  </si>
  <si>
    <t>Inisas</t>
  </si>
  <si>
    <t>07404561488</t>
  </si>
  <si>
    <t>07956213623</t>
  </si>
  <si>
    <t>07397566080</t>
  </si>
  <si>
    <t>07747612490</t>
  </si>
  <si>
    <t>Delivery Slough</t>
  </si>
  <si>
    <t>Hafeef</t>
  </si>
  <si>
    <t>Azinar</t>
  </si>
  <si>
    <t>Jaffar</t>
  </si>
  <si>
    <t>Zameer (Booths)</t>
  </si>
  <si>
    <t>keep whole chicken separate</t>
  </si>
  <si>
    <t>Ashrad</t>
  </si>
  <si>
    <t>Azwer</t>
  </si>
  <si>
    <t>12.30 collection</t>
  </si>
  <si>
    <t>Nistar Nana</t>
  </si>
  <si>
    <t>Zameer</t>
  </si>
  <si>
    <t>Paid</t>
  </si>
  <si>
    <t>Ishri</t>
  </si>
  <si>
    <t>Mumthaz</t>
  </si>
  <si>
    <t>Najahaasan</t>
  </si>
  <si>
    <t>2pm</t>
  </si>
  <si>
    <t>Asdam</t>
  </si>
  <si>
    <t>Nusri</t>
  </si>
  <si>
    <t>Kabi</t>
  </si>
  <si>
    <t>DELIVERY</t>
  </si>
  <si>
    <t>taken not paid</t>
  </si>
  <si>
    <t>PAY LATER</t>
  </si>
  <si>
    <t>Bari</t>
  </si>
  <si>
    <t>?? Pay later</t>
  </si>
  <si>
    <t>DELIEVERY PAY LATER</t>
  </si>
  <si>
    <t>PAY LATER RIZA DELIVERY</t>
  </si>
  <si>
    <t>RIZANI/JIFRIYA</t>
  </si>
  <si>
    <t>15 MUTTON ROLLS 1 TEA</t>
  </si>
  <si>
    <t>20 Mrolls</t>
  </si>
  <si>
    <t>30£ PAID REST COMING</t>
  </si>
  <si>
    <t>LAMB CURRY</t>
  </si>
  <si>
    <t>WALK IN</t>
  </si>
  <si>
    <t>PAY LATER TAKEN SAHAN regular CUSTOMER</t>
  </si>
  <si>
    <t>pay later REGULAR CUSTOMER</t>
  </si>
  <si>
    <t>bank transfer</t>
  </si>
  <si>
    <t>MUSHTAQ</t>
  </si>
  <si>
    <t>Dad charged more, orginal £48</t>
  </si>
  <si>
    <t xml:space="preserve">Wall IN </t>
  </si>
  <si>
    <t>Dad changed and charged 108? ???</t>
  </si>
  <si>
    <t xml:space="preserve">85 was taken with 1 £ change and extra something from dad </t>
  </si>
  <si>
    <t>45 was taken</t>
  </si>
  <si>
    <t>Dad took £110 from the pot to pay Bari and I got 150 from him</t>
  </si>
  <si>
    <t>Some guy</t>
  </si>
  <si>
    <t xml:space="preserve">Couldn’t find his name </t>
  </si>
  <si>
    <t xml:space="preserve">OWES DAD MONEY STILL </t>
  </si>
  <si>
    <t xml:space="preserve">He paid now at 3pm </t>
  </si>
  <si>
    <t xml:space="preserve">1023 taken for y days meal </t>
  </si>
  <si>
    <t>BANK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</si>
</sst>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&quot;£&quot;#,##0.00"/>
    <numFmt numFmtId="166" formatCode="&quot;£&quot;#,##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rgb="FF1E1E1E"/>
      <name val="Segoe UI"/>
      <family val="2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8"/>
      <color theme="1"/>
      <name val="Arial Rounded MT Bold"/>
      <family val="2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164" fontId="14" fillId="0" borderId="1" xfId="0" applyNumberFormat="1" applyFont="1" applyBorder="1" applyAlignment="1">
      <alignment vertical="center"/>
    </xf>
    <xf numFmtId="165" fontId="14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164" fontId="15" fillId="0" borderId="1" xfId="0" applyNumberFormat="1" applyFont="1" applyBorder="1" applyAlignment="1">
      <alignment vertical="center"/>
    </xf>
    <xf numFmtId="165" fontId="15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2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164" fontId="9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13" fillId="6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ill>
        <patternFill patternType="mediumGray">
          <bgColor theme="9" tint="0.39994506668294322"/>
        </patternFill>
      </fill>
    </dxf>
    <dxf>
      <fill>
        <patternFill patternType="mediumGray">
          <bgColor theme="9" tint="0.39994506668294322"/>
        </patternFill>
      </fill>
    </dxf>
    <dxf>
      <fill>
        <patternFill patternType="mediumGray">
          <bgColor theme="9" tint="0.39994506668294322"/>
        </patternFill>
      </fill>
    </dxf>
    <dxf>
      <fill>
        <patternFill patternType="mediumGray">
          <bgColor theme="9" tint="0.39994506668294322"/>
        </patternFill>
      </fill>
    </dxf>
    <dxf>
      <fill>
        <patternFill patternType="mediumGray">
          <bgColor theme="9" tint="0.39994506668294322"/>
        </patternFill>
      </fill>
    </dxf>
    <dxf>
      <fill>
        <patternFill patternType="mediumGray">
          <bgColor theme="9" tint="0.39994506668294322"/>
        </patternFill>
      </fill>
    </dxf>
    <dxf>
      <fill>
        <patternFill patternType="mediumGray">
          <bgColor theme="9" tint="0.39994506668294322"/>
        </patternFill>
      </fill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5" formatCode="&quot;£&quot;#,##0.00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4" formatCode="00000000000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33CC33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2F52C-82FF-4CCE-9F2E-AA9C1F4627A1}" name="Table1" displayName="Table1" ref="A4:L120" totalsRowShown="0" headerRowDxfId="20" dataDxfId="19">
  <autoFilter ref="A4:L120" xr:uid="{A242F52C-82FF-4CCE-9F2E-AA9C1F4627A1}">
    <filterColumn colId="11">
      <filters blank="1">
        <filter val="Unpaid"/>
      </filters>
    </filterColumn>
  </autoFilter>
  <tableColumns count="12">
    <tableColumn id="1" xr3:uid="{3469E846-E02E-4504-8AD2-D4F272B76A34}" name="Order No:" dataDxfId="18"/>
    <tableColumn id="2" xr3:uid="{E87F9797-03C1-4993-B100-82E0000B8467}" name="Name" dataDxfId="17"/>
    <tableColumn id="4" xr3:uid="{DB18E3D2-46EB-40FA-B981-09D01904740E}" name="Full M/Savan" dataDxfId="16"/>
    <tableColumn id="5" xr3:uid="{F39C6C81-27E7-4DFC-8509-0A926B832D03}" name="Half M/Savan" dataDxfId="15"/>
    <tableColumn id="14" xr3:uid="{98796CBC-12D0-40B8-9552-3B7BBD15FC1C}" name="Full C/Svan" dataDxfId="14"/>
    <tableColumn id="13" xr3:uid="{BF0273F9-E413-4E05-B107-7AEB4C7F8381}" name="Half C/Savan" dataDxfId="13"/>
    <tableColumn id="6" xr3:uid="{688792E3-AD38-4996-8539-BCCB773B45C3}" name="Extra Chicken" dataDxfId="12"/>
    <tableColumn id="12" xr3:uid="{F2DB2029-0F15-43DA-A9B9-793723272B24}" name="Extra Wattalpam" dataDxfId="11"/>
    <tableColumn id="7" xr3:uid="{8365FACB-CB6C-4C7F-889E-4F75888776BC}" name="Number" dataDxfId="10"/>
    <tableColumn id="8" xr3:uid="{3B8290B4-2839-46F9-BB24-BAEC38694CB7}" name="Extra Notes" dataDxfId="9"/>
    <tableColumn id="3" xr3:uid="{2528F558-C22D-4FE4-B8E0-B9780EEAFC81}" name="Total" dataDxfId="8">
      <calculatedColumnFormula>$O$5*Table1[[#This Row],[Full M/Savan]]+$P$5*Table1[[#This Row],[Half M/Savan]]+$Q$5*Table1[[#This Row],[Extra Chicken]]</calculatedColumnFormula>
    </tableColumn>
    <tableColumn id="9" xr3:uid="{D9F707FF-60B1-4D93-8703-5E4B113DCFCB}" name="Payment Status" dataDxfId="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D6A9-CFC4-432E-9F77-411850EE337B}">
  <sheetPr codeName="Sheet1"/>
  <dimension ref="A1:S132"/>
  <sheetViews>
    <sheetView tabSelected="1" zoomScale="58" zoomScaleNormal="115" workbookViewId="0">
      <selection activeCell="L5" sqref="L5"/>
    </sheetView>
  </sheetViews>
  <sheetFormatPr defaultRowHeight="21" customHeight="1" x14ac:dyDescent="0.35"/>
  <cols>
    <col min="1" max="1" width="15.36328125" style="1" customWidth="1"/>
    <col min="2" max="2" width="28.26953125" style="2" customWidth="1"/>
    <col min="3" max="3" width="21.36328125" style="3" bestFit="1" customWidth="1"/>
    <col min="4" max="4" width="23.453125" style="1" bestFit="1" customWidth="1"/>
    <col min="5" max="5" width="23.36328125" style="1" bestFit="1" customWidth="1"/>
    <col min="6" max="6" width="23.1796875" style="1" bestFit="1" customWidth="1"/>
    <col min="7" max="7" width="24.26953125" style="1" bestFit="1" customWidth="1"/>
    <col min="8" max="8" width="28" style="1" customWidth="1"/>
    <col min="9" max="9" width="30.6328125" style="3" bestFit="1" customWidth="1"/>
    <col min="10" max="10" width="43.1796875" style="1" bestFit="1" customWidth="1"/>
    <col min="11" max="11" width="14.36328125" style="4" bestFit="1" customWidth="1"/>
    <col min="12" max="12" width="26.7265625" style="1" bestFit="1" customWidth="1"/>
    <col min="13" max="13" width="35.36328125" style="1" customWidth="1"/>
    <col min="14" max="14" width="15.1796875" style="1" bestFit="1" customWidth="1"/>
    <col min="15" max="15" width="13.453125" style="1" bestFit="1" customWidth="1"/>
    <col min="16" max="16" width="14.08984375" style="1" bestFit="1" customWidth="1"/>
    <col min="17" max="17" width="10.7265625" style="1" customWidth="1"/>
    <col min="18" max="18" width="16.90625" style="1" customWidth="1"/>
    <col min="19" max="19" width="33.08984375" style="1" bestFit="1" customWidth="1"/>
    <col min="20" max="20" width="14.90625" style="1" bestFit="1" customWidth="1"/>
    <col min="21" max="16384" width="8.7265625" style="1"/>
  </cols>
  <sheetData>
    <row r="1" spans="1:19" ht="36" customHeight="1" x14ac:dyDescent="0.35">
      <c r="D1" s="49" t="s">
        <v>39</v>
      </c>
      <c r="E1" s="50"/>
      <c r="F1" s="50"/>
      <c r="G1" s="50"/>
      <c r="H1" s="50"/>
      <c r="I1" s="50"/>
    </row>
    <row r="2" spans="1:19" ht="36" customHeight="1" x14ac:dyDescent="0.35">
      <c r="D2" s="30"/>
      <c r="E2" s="5"/>
      <c r="F2" s="5"/>
      <c r="G2" s="5"/>
      <c r="H2" s="5"/>
      <c r="I2" s="5"/>
    </row>
    <row r="3" spans="1:19" ht="21" customHeight="1" x14ac:dyDescent="0.35">
      <c r="C3" s="51" t="s">
        <v>40</v>
      </c>
      <c r="D3" s="51"/>
      <c r="E3" s="52" t="s">
        <v>28</v>
      </c>
      <c r="F3" s="52"/>
    </row>
    <row r="4" spans="1:19" ht="23.5" x14ac:dyDescent="0.35">
      <c r="A4" s="19" t="s">
        <v>0</v>
      </c>
      <c r="B4" s="44" t="s">
        <v>1</v>
      </c>
      <c r="C4" s="19" t="s">
        <v>35</v>
      </c>
      <c r="D4" s="19" t="s">
        <v>36</v>
      </c>
      <c r="E4" s="19" t="s">
        <v>38</v>
      </c>
      <c r="F4" s="19" t="s">
        <v>37</v>
      </c>
      <c r="G4" s="19" t="s">
        <v>6</v>
      </c>
      <c r="H4" s="19" t="s">
        <v>25</v>
      </c>
      <c r="I4" s="20" t="s">
        <v>4</v>
      </c>
      <c r="J4" s="19" t="s">
        <v>7</v>
      </c>
      <c r="K4" s="21" t="s">
        <v>10</v>
      </c>
      <c r="L4" s="19" t="s">
        <v>15</v>
      </c>
    </row>
    <row r="5" spans="1:19" ht="16" x14ac:dyDescent="0.35">
      <c r="A5" s="31">
        <v>7</v>
      </c>
      <c r="B5" s="43" t="s">
        <v>27</v>
      </c>
      <c r="C5" s="16"/>
      <c r="D5" s="16"/>
      <c r="E5" s="31">
        <v>1</v>
      </c>
      <c r="F5" s="31"/>
      <c r="G5" s="16"/>
      <c r="H5" s="31"/>
      <c r="I5" s="17">
        <v>7546778168</v>
      </c>
      <c r="J5" s="16"/>
      <c r="K5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89</v>
      </c>
      <c r="L5" s="31" t="s">
        <v>124</v>
      </c>
    </row>
    <row r="6" spans="1:19" ht="16" x14ac:dyDescent="0.35">
      <c r="A6" s="31">
        <v>5</v>
      </c>
      <c r="B6" s="43" t="s">
        <v>127</v>
      </c>
      <c r="C6" s="16"/>
      <c r="D6" s="16"/>
      <c r="E6" s="31">
        <v>1</v>
      </c>
      <c r="F6" s="31"/>
      <c r="G6" s="16"/>
      <c r="H6" s="31"/>
      <c r="I6" s="17">
        <v>7306069201</v>
      </c>
      <c r="J6" s="16"/>
      <c r="K6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89</v>
      </c>
      <c r="L6" s="31" t="s">
        <v>124</v>
      </c>
    </row>
    <row r="7" spans="1:19" ht="16" x14ac:dyDescent="0.35">
      <c r="A7" s="31">
        <v>6</v>
      </c>
      <c r="B7" s="43" t="s">
        <v>129</v>
      </c>
      <c r="C7" s="16">
        <v>1</v>
      </c>
      <c r="D7" s="16"/>
      <c r="E7" s="31"/>
      <c r="F7" s="31"/>
      <c r="G7" s="16"/>
      <c r="H7" s="31"/>
      <c r="I7" s="17">
        <v>7503224216</v>
      </c>
      <c r="J7" s="16" t="s">
        <v>128</v>
      </c>
      <c r="K7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89</v>
      </c>
      <c r="L7" s="31" t="s">
        <v>124</v>
      </c>
    </row>
    <row r="8" spans="1:19" ht="16" x14ac:dyDescent="0.35">
      <c r="A8" s="31">
        <v>25</v>
      </c>
      <c r="B8" t="s">
        <v>44</v>
      </c>
      <c r="C8" s="31"/>
      <c r="D8" s="31">
        <v>1</v>
      </c>
      <c r="E8" s="31"/>
      <c r="F8" s="31"/>
      <c r="G8" s="31"/>
      <c r="H8" s="31"/>
      <c r="I8" s="46">
        <v>7910394346</v>
      </c>
      <c r="J8" s="16"/>
      <c r="K8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48</v>
      </c>
      <c r="L8" s="31" t="s">
        <v>124</v>
      </c>
    </row>
    <row r="9" spans="1:19" x14ac:dyDescent="0.35">
      <c r="A9" s="31">
        <f>A8+1</f>
        <v>26</v>
      </c>
      <c r="B9" t="s">
        <v>77</v>
      </c>
      <c r="C9" s="31">
        <v>1</v>
      </c>
      <c r="D9" s="31"/>
      <c r="E9" s="31"/>
      <c r="F9" s="31"/>
      <c r="G9" s="31"/>
      <c r="H9" s="31"/>
      <c r="I9" s="46" t="s">
        <v>78</v>
      </c>
      <c r="J9" s="16"/>
      <c r="K9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89</v>
      </c>
      <c r="L9" s="31" t="s">
        <v>124</v>
      </c>
      <c r="N9" s="42" t="s">
        <v>11</v>
      </c>
      <c r="O9" s="42" t="s">
        <v>2</v>
      </c>
      <c r="P9" s="42" t="s">
        <v>3</v>
      </c>
      <c r="Q9" s="42" t="s">
        <v>5</v>
      </c>
      <c r="R9" s="42" t="s">
        <v>12</v>
      </c>
      <c r="S9" s="42" t="s">
        <v>14</v>
      </c>
    </row>
    <row r="10" spans="1:19" ht="16" x14ac:dyDescent="0.35">
      <c r="A10" s="31">
        <f t="shared" ref="A10:A73" si="0">A9+1</f>
        <v>27</v>
      </c>
      <c r="B10" t="s">
        <v>79</v>
      </c>
      <c r="C10" s="31">
        <v>1</v>
      </c>
      <c r="D10" s="31"/>
      <c r="E10" s="31"/>
      <c r="F10" s="31"/>
      <c r="G10" s="31"/>
      <c r="H10" s="31"/>
      <c r="I10" s="46" t="s">
        <v>80</v>
      </c>
      <c r="J10" s="16"/>
      <c r="K10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89</v>
      </c>
      <c r="L10" s="31" t="s">
        <v>124</v>
      </c>
    </row>
    <row r="11" spans="1:19" s="5" customFormat="1" ht="16" x14ac:dyDescent="0.35">
      <c r="A11" s="31">
        <f t="shared" si="0"/>
        <v>28</v>
      </c>
      <c r="B11" t="s">
        <v>132</v>
      </c>
      <c r="C11" s="31">
        <v>1</v>
      </c>
      <c r="D11" s="31"/>
      <c r="E11" s="31"/>
      <c r="F11" s="31"/>
      <c r="G11" s="31">
        <v>2</v>
      </c>
      <c r="H11" s="31"/>
      <c r="I11" s="46"/>
      <c r="J11" s="31" t="s">
        <v>81</v>
      </c>
      <c r="K11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121</v>
      </c>
      <c r="L11" s="31" t="s">
        <v>124</v>
      </c>
      <c r="M11" s="5" t="s">
        <v>137</v>
      </c>
      <c r="O11" s="6">
        <v>89</v>
      </c>
      <c r="P11" s="6">
        <v>48</v>
      </c>
      <c r="Q11" s="6">
        <v>16</v>
      </c>
      <c r="R11" s="6">
        <v>16</v>
      </c>
      <c r="S11" s="6">
        <v>6</v>
      </c>
    </row>
    <row r="12" spans="1:19" s="5" customFormat="1" ht="21" customHeight="1" x14ac:dyDescent="0.35">
      <c r="A12" s="31">
        <f t="shared" si="0"/>
        <v>29</v>
      </c>
      <c r="B12" t="s">
        <v>45</v>
      </c>
      <c r="C12" s="31">
        <v>2</v>
      </c>
      <c r="D12" s="31"/>
      <c r="E12" s="31"/>
      <c r="F12" s="31"/>
      <c r="G12" s="31">
        <v>2</v>
      </c>
      <c r="H12" s="31"/>
      <c r="I12" s="46">
        <v>7986542700</v>
      </c>
      <c r="J12" s="31" t="s">
        <v>82</v>
      </c>
      <c r="K12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210</v>
      </c>
      <c r="L12" s="31" t="s">
        <v>124</v>
      </c>
      <c r="M12" s="5" t="s">
        <v>160</v>
      </c>
    </row>
    <row r="13" spans="1:19" s="5" customFormat="1" ht="16" customHeight="1" x14ac:dyDescent="0.35">
      <c r="A13" s="31">
        <f t="shared" si="0"/>
        <v>30</v>
      </c>
      <c r="B13" t="s">
        <v>83</v>
      </c>
      <c r="C13" s="31">
        <v>1</v>
      </c>
      <c r="D13" s="31">
        <v>1</v>
      </c>
      <c r="E13" s="31"/>
      <c r="F13" s="31"/>
      <c r="G13" s="31">
        <v>1.5</v>
      </c>
      <c r="H13" s="31"/>
      <c r="I13" s="46" t="s">
        <v>84</v>
      </c>
      <c r="J13" s="31"/>
      <c r="K13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161</v>
      </c>
      <c r="L13" s="31" t="s">
        <v>124</v>
      </c>
      <c r="N13" s="2" t="s">
        <v>10</v>
      </c>
      <c r="Q13" s="2"/>
      <c r="R13" s="2"/>
      <c r="S13" s="5" t="s">
        <v>20</v>
      </c>
    </row>
    <row r="14" spans="1:19" s="5" customFormat="1" ht="27.5" customHeight="1" x14ac:dyDescent="0.35">
      <c r="A14" s="31">
        <f t="shared" si="0"/>
        <v>31</v>
      </c>
      <c r="B14" t="s">
        <v>73</v>
      </c>
      <c r="C14" s="31"/>
      <c r="D14" s="31">
        <v>2</v>
      </c>
      <c r="E14" s="31"/>
      <c r="F14" s="31"/>
      <c r="G14" s="31">
        <v>1</v>
      </c>
      <c r="H14" s="31"/>
      <c r="I14" s="46" t="s">
        <v>85</v>
      </c>
      <c r="J14" s="31"/>
      <c r="K14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112</v>
      </c>
      <c r="L14" s="31" t="s">
        <v>124</v>
      </c>
      <c r="M14" s="5" t="s">
        <v>13</v>
      </c>
      <c r="O14" s="5">
        <f>C119</f>
        <v>60</v>
      </c>
      <c r="P14" s="5">
        <f>D119</f>
        <v>41</v>
      </c>
      <c r="Q14" s="5">
        <f>C119+(D119/2)+G119+(E119*2)+F119</f>
        <v>120.5</v>
      </c>
      <c r="R14" s="5">
        <f>C119+(D119/2)+H119</f>
        <v>87.5</v>
      </c>
    </row>
    <row r="15" spans="1:19" s="5" customFormat="1" ht="27.5" customHeight="1" x14ac:dyDescent="0.35">
      <c r="A15" s="31">
        <f t="shared" si="0"/>
        <v>32</v>
      </c>
      <c r="B15" s="31" t="s">
        <v>86</v>
      </c>
      <c r="C15" s="31"/>
      <c r="D15" s="31">
        <v>1</v>
      </c>
      <c r="E15" s="31"/>
      <c r="F15" s="31"/>
      <c r="G15" s="31"/>
      <c r="H15" s="31"/>
      <c r="I15" s="31" t="s">
        <v>88</v>
      </c>
      <c r="J15" s="31"/>
      <c r="K15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48</v>
      </c>
      <c r="L15" s="31" t="s">
        <v>124</v>
      </c>
    </row>
    <row r="16" spans="1:19" s="5" customFormat="1" ht="21.5" customHeight="1" x14ac:dyDescent="0.35">
      <c r="A16" s="31">
        <f t="shared" si="0"/>
        <v>33</v>
      </c>
      <c r="B16" t="s">
        <v>87</v>
      </c>
      <c r="C16" s="45">
        <v>3</v>
      </c>
      <c r="D16" s="45"/>
      <c r="E16" s="45"/>
      <c r="F16" s="45"/>
      <c r="G16" s="45">
        <v>3</v>
      </c>
      <c r="H16" s="45"/>
      <c r="I16" s="46" t="s">
        <v>89</v>
      </c>
      <c r="J16"/>
      <c r="K16" s="33">
        <f>Table1[[#This Row],[Full M/Savan]]*$O$11+Table1[[#This Row],[Half M/Savan]]*$P$11+Table1[[#This Row],[Extra Chicken]]*$Q$11+Table1[[#This Row],[Extra Wattalpam]]*$R$11+Table1[[#This Row],[Full C/Svan]]*$O$11+Table1[[#This Row],[Half C/Savan]]*$P$11</f>
        <v>315</v>
      </c>
      <c r="L16" s="31" t="s">
        <v>124</v>
      </c>
    </row>
    <row r="17" spans="1:13" s="5" customFormat="1" ht="17" customHeight="1" x14ac:dyDescent="0.35">
      <c r="A17" s="31">
        <f t="shared" si="0"/>
        <v>34</v>
      </c>
      <c r="B17" t="s">
        <v>90</v>
      </c>
      <c r="C17" s="31">
        <v>1</v>
      </c>
      <c r="D17" s="31"/>
      <c r="E17" s="31"/>
      <c r="F17" s="31"/>
      <c r="G17" s="31">
        <v>1</v>
      </c>
      <c r="H17" s="31"/>
      <c r="I17" s="46" t="s">
        <v>91</v>
      </c>
      <c r="J17" s="31"/>
      <c r="K17" s="33">
        <f>Table1[[#This Row],[Full M/Savan]]*$O$11+Table1[[#This Row],[Half M/Savan]]*$P$11+Table1[[#This Row],[Extra Chicken]]*$Q$11+Table1[[#This Row],[Extra Wattalpam]]*$R$11</f>
        <v>105</v>
      </c>
      <c r="L17" s="31" t="s">
        <v>124</v>
      </c>
      <c r="M17" s="5" t="s">
        <v>147</v>
      </c>
    </row>
    <row r="18" spans="1:13" s="5" customFormat="1" ht="16" customHeight="1" x14ac:dyDescent="0.35">
      <c r="A18" s="31">
        <f t="shared" si="0"/>
        <v>35</v>
      </c>
      <c r="B18" t="s">
        <v>9</v>
      </c>
      <c r="C18" s="31">
        <v>1</v>
      </c>
      <c r="D18" s="31"/>
      <c r="E18" s="31"/>
      <c r="F18" s="31"/>
      <c r="G18" s="31"/>
      <c r="H18" s="31"/>
      <c r="I18" s="46" t="s">
        <v>92</v>
      </c>
      <c r="J18" s="31"/>
      <c r="K18" s="33">
        <f>Table1[[#This Row],[Full M/Savan]]*$O$11+Table1[[#This Row],[Half M/Savan]]*$P$11+Table1[[#This Row],[Extra Chicken]]*$Q$11+Table1[[#This Row],[Extra Wattalpam]]*$R$11</f>
        <v>89</v>
      </c>
      <c r="L18" s="31" t="s">
        <v>124</v>
      </c>
    </row>
    <row r="19" spans="1:13" s="5" customFormat="1" ht="19.5" customHeight="1" x14ac:dyDescent="0.35">
      <c r="A19" s="31">
        <f t="shared" si="0"/>
        <v>36</v>
      </c>
      <c r="B19" t="s">
        <v>46</v>
      </c>
      <c r="C19" s="31">
        <v>1</v>
      </c>
      <c r="D19" s="31"/>
      <c r="E19" s="31"/>
      <c r="F19" s="31"/>
      <c r="G19" s="31"/>
      <c r="H19" s="31">
        <v>1</v>
      </c>
      <c r="I19" s="46" t="s">
        <v>93</v>
      </c>
      <c r="J19" s="31"/>
      <c r="K19" s="33">
        <f>Table1[[#This Row],[Full M/Savan]]*$O$11+Table1[[#This Row],[Half M/Savan]]*$P$11+Table1[[#This Row],[Extra Chicken]]*$Q$11+Table1[[#This Row],[Extra Wattalpam]]*$R$11</f>
        <v>105</v>
      </c>
      <c r="L19" s="31" t="s">
        <v>124</v>
      </c>
    </row>
    <row r="20" spans="1:13" s="5" customFormat="1" ht="20.5" customHeight="1" x14ac:dyDescent="0.35">
      <c r="A20" s="31">
        <f t="shared" si="0"/>
        <v>37</v>
      </c>
      <c r="B20" t="s">
        <v>47</v>
      </c>
      <c r="C20" s="31">
        <v>1</v>
      </c>
      <c r="D20" s="31"/>
      <c r="E20" s="31"/>
      <c r="F20" s="31"/>
      <c r="G20" s="31"/>
      <c r="H20" s="31"/>
      <c r="I20" s="46" t="s">
        <v>94</v>
      </c>
      <c r="J20" s="31"/>
      <c r="K20" s="33">
        <f>Table1[[#This Row],[Full M/Savan]]*$O$11+Table1[[#This Row],[Half M/Savan]]*$P$11+Table1[[#This Row],[Extra Chicken]]*$Q$11+Table1[[#This Row],[Extra Wattalpam]]*$R$11</f>
        <v>89</v>
      </c>
      <c r="L20" s="31" t="s">
        <v>124</v>
      </c>
    </row>
    <row r="21" spans="1:13" s="5" customFormat="1" ht="21.5" customHeight="1" x14ac:dyDescent="0.35">
      <c r="A21" s="31">
        <f t="shared" si="0"/>
        <v>38</v>
      </c>
      <c r="B21" t="s">
        <v>95</v>
      </c>
      <c r="C21" s="31"/>
      <c r="D21" s="31"/>
      <c r="E21" s="31"/>
      <c r="F21" s="31"/>
      <c r="G21" s="31">
        <v>3</v>
      </c>
      <c r="H21" s="31"/>
      <c r="I21" s="46" t="s">
        <v>96</v>
      </c>
      <c r="J21" s="31"/>
      <c r="K21" s="33">
        <f>Table1[[#This Row],[Full M/Savan]]*$O$11+Table1[[#This Row],[Half M/Savan]]*$P$11+Table1[[#This Row],[Extra Chicken]]*$Q$11+Table1[[#This Row],[Extra Wattalpam]]*$R$11</f>
        <v>48</v>
      </c>
      <c r="L21" s="31" t="s">
        <v>124</v>
      </c>
    </row>
    <row r="22" spans="1:13" s="5" customFormat="1" ht="30" customHeight="1" x14ac:dyDescent="0.35">
      <c r="A22" s="31">
        <f t="shared" si="0"/>
        <v>39</v>
      </c>
      <c r="B22" t="s">
        <v>48</v>
      </c>
      <c r="C22" s="31">
        <v>1</v>
      </c>
      <c r="D22" s="31"/>
      <c r="E22" s="31"/>
      <c r="F22" s="31"/>
      <c r="G22" s="31"/>
      <c r="H22" s="31"/>
      <c r="I22" s="46"/>
      <c r="J22" s="31"/>
      <c r="K22" s="33">
        <f>Table1[[#This Row],[Full M/Savan]]*$O$11+Table1[[#This Row],[Half M/Savan]]*$P$11+Table1[[#This Row],[Extra Chicken]]*$Q$11+Table1[[#This Row],[Extra Wattalpam]]*$R$11</f>
        <v>89</v>
      </c>
      <c r="L22" s="31" t="s">
        <v>124</v>
      </c>
      <c r="M22" s="5" t="s">
        <v>159</v>
      </c>
    </row>
    <row r="23" spans="1:13" s="5" customFormat="1" ht="16.5" customHeight="1" x14ac:dyDescent="0.35">
      <c r="A23" s="31">
        <f t="shared" si="0"/>
        <v>40</v>
      </c>
      <c r="B23" t="s">
        <v>97</v>
      </c>
      <c r="C23" s="31">
        <v>1</v>
      </c>
      <c r="D23" s="31">
        <v>1</v>
      </c>
      <c r="E23" s="31"/>
      <c r="F23" s="31"/>
      <c r="G23" s="34">
        <v>1.5</v>
      </c>
      <c r="H23" s="31"/>
      <c r="I23" s="46" t="s">
        <v>98</v>
      </c>
      <c r="J23" s="31"/>
      <c r="K23" s="33">
        <f>Table1[[#This Row],[Full M/Savan]]*$O$11+Table1[[#This Row],[Half M/Savan]]*$P$11+Table1[[#This Row],[Extra Chicken]]*$Q$11+Table1[[#This Row],[Extra Wattalpam]]*$R$11</f>
        <v>161</v>
      </c>
      <c r="L23" s="31" t="s">
        <v>124</v>
      </c>
    </row>
    <row r="24" spans="1:13" s="5" customFormat="1" ht="28" customHeight="1" x14ac:dyDescent="0.35">
      <c r="A24" s="31">
        <f t="shared" si="0"/>
        <v>41</v>
      </c>
      <c r="B24" t="s">
        <v>49</v>
      </c>
      <c r="C24" s="31"/>
      <c r="D24" s="31">
        <v>1</v>
      </c>
      <c r="E24" s="31"/>
      <c r="F24" s="31"/>
      <c r="G24" s="34"/>
      <c r="H24" s="31"/>
      <c r="I24" s="46" t="s">
        <v>99</v>
      </c>
      <c r="J24" s="31"/>
      <c r="K24" s="33">
        <f>Table1[[#This Row],[Full M/Savan]]*$O$11+Table1[[#This Row],[Half M/Savan]]*$P$11+Table1[[#This Row],[Extra Chicken]]*$Q$11+Table1[[#This Row],[Extra Wattalpam]]*$R$11</f>
        <v>48</v>
      </c>
      <c r="L24" s="31" t="s">
        <v>124</v>
      </c>
    </row>
    <row r="25" spans="1:13" s="5" customFormat="1" ht="26.5" customHeight="1" x14ac:dyDescent="0.35">
      <c r="A25" s="31">
        <f t="shared" si="0"/>
        <v>42</v>
      </c>
      <c r="B25" t="s">
        <v>29</v>
      </c>
      <c r="C25" s="31"/>
      <c r="D25" s="31">
        <v>1</v>
      </c>
      <c r="E25" s="31"/>
      <c r="F25" s="31"/>
      <c r="G25" s="34"/>
      <c r="H25" s="31"/>
      <c r="I25" s="46" t="s">
        <v>100</v>
      </c>
      <c r="J25" s="35"/>
      <c r="K25" s="33">
        <f>Table1[[#This Row],[Full M/Savan]]*$O$11+Table1[[#This Row],[Half M/Savan]]*$P$11+Table1[[#This Row],[Extra Chicken]]*$Q$11+Table1[[#This Row],[Extra Wattalpam]]*$R$11</f>
        <v>48</v>
      </c>
      <c r="L25" s="31" t="s">
        <v>124</v>
      </c>
    </row>
    <row r="26" spans="1:13" s="5" customFormat="1" ht="26" customHeight="1" x14ac:dyDescent="0.35">
      <c r="A26" s="31">
        <f t="shared" si="0"/>
        <v>43</v>
      </c>
      <c r="B26" t="s">
        <v>101</v>
      </c>
      <c r="C26" s="31">
        <v>1</v>
      </c>
      <c r="D26" s="31">
        <v>1</v>
      </c>
      <c r="E26" s="31"/>
      <c r="F26" s="31"/>
      <c r="G26" s="34"/>
      <c r="H26" s="31"/>
      <c r="I26" s="46" t="s">
        <v>102</v>
      </c>
      <c r="J26" s="31"/>
      <c r="K26" s="33">
        <f>Table1[[#This Row],[Full M/Savan]]*$O$11+Table1[[#This Row],[Half M/Savan]]*$P$11+Table1[[#This Row],[Extra Chicken]]*$Q$11+Table1[[#This Row],[Extra Wattalpam]]*$R$11</f>
        <v>137</v>
      </c>
      <c r="L26" s="31" t="s">
        <v>124</v>
      </c>
    </row>
    <row r="27" spans="1:13" s="5" customFormat="1" ht="26" customHeight="1" x14ac:dyDescent="0.35">
      <c r="A27" s="31">
        <f t="shared" si="0"/>
        <v>44</v>
      </c>
      <c r="B27" t="s">
        <v>50</v>
      </c>
      <c r="C27" s="31">
        <v>1</v>
      </c>
      <c r="D27" s="31"/>
      <c r="E27" s="31"/>
      <c r="F27" s="31"/>
      <c r="G27" s="34"/>
      <c r="H27" s="31"/>
      <c r="I27" s="46" t="s">
        <v>103</v>
      </c>
      <c r="J27" s="31"/>
      <c r="K27" s="33">
        <f>Table1[[#This Row],[Full M/Savan]]*$O$11+Table1[[#This Row],[Half M/Savan]]*$P$11+Table1[[#This Row],[Extra Chicken]]*$Q$11+Table1[[#This Row],[Extra Wattalpam]]*$R$11</f>
        <v>89</v>
      </c>
      <c r="L27" s="31" t="s">
        <v>124</v>
      </c>
      <c r="M27" s="5" t="s">
        <v>145</v>
      </c>
    </row>
    <row r="28" spans="1:13" s="5" customFormat="1" ht="21" customHeight="1" x14ac:dyDescent="0.35">
      <c r="A28" s="31">
        <f t="shared" si="0"/>
        <v>45</v>
      </c>
      <c r="B28" t="s">
        <v>51</v>
      </c>
      <c r="C28" s="31">
        <v>2</v>
      </c>
      <c r="D28" s="31"/>
      <c r="E28" s="31"/>
      <c r="F28" s="31"/>
      <c r="G28" s="34">
        <v>2</v>
      </c>
      <c r="H28" s="31"/>
      <c r="I28" s="46" t="s">
        <v>104</v>
      </c>
      <c r="J28" s="31"/>
      <c r="K28" s="33">
        <f>Table1[[#This Row],[Full M/Savan]]*$O$11+Table1[[#This Row],[Half M/Savan]]*$P$11+Table1[[#This Row],[Extra Chicken]]*$Q$11+Table1[[#This Row],[Extra Wattalpam]]*$R$11</f>
        <v>210</v>
      </c>
      <c r="L28" s="31" t="s">
        <v>124</v>
      </c>
    </row>
    <row r="29" spans="1:13" s="5" customFormat="1" ht="19" customHeight="1" x14ac:dyDescent="0.35">
      <c r="A29" s="31">
        <f t="shared" si="0"/>
        <v>46</v>
      </c>
      <c r="B29" t="s">
        <v>105</v>
      </c>
      <c r="C29" s="31">
        <v>1</v>
      </c>
      <c r="D29" s="31"/>
      <c r="E29" s="31"/>
      <c r="F29" s="31"/>
      <c r="G29" s="34">
        <v>2</v>
      </c>
      <c r="H29" s="31"/>
      <c r="I29" s="46" t="s">
        <v>106</v>
      </c>
      <c r="J29" s="31" t="s">
        <v>140</v>
      </c>
      <c r="K29" s="33">
        <f>Table1[[#This Row],[Full M/Savan]]*$O$11+Table1[[#This Row],[Half M/Savan]]*$P$11+Table1[[#This Row],[Extra Chicken]]*$Q$11+Table1[[#This Row],[Extra Wattalpam]]*$R$11+15</f>
        <v>136</v>
      </c>
      <c r="L29" s="31" t="s">
        <v>124</v>
      </c>
    </row>
    <row r="30" spans="1:13" s="5" customFormat="1" ht="31.5" customHeight="1" x14ac:dyDescent="0.35">
      <c r="A30" s="31">
        <f t="shared" si="0"/>
        <v>47</v>
      </c>
      <c r="B30" t="s">
        <v>26</v>
      </c>
      <c r="C30" s="31">
        <v>1</v>
      </c>
      <c r="D30" s="31"/>
      <c r="E30" s="31"/>
      <c r="F30" s="31"/>
      <c r="G30" s="34"/>
      <c r="H30" s="31"/>
      <c r="I30" s="46">
        <v>7861612196</v>
      </c>
      <c r="J30" s="31"/>
      <c r="K30" s="33">
        <f>Table1[[#This Row],[Full M/Savan]]*$O$11+Table1[[#This Row],[Half M/Savan]]*$P$11+Table1[[#This Row],[Extra Chicken]]*$Q$11+Table1[[#This Row],[Extra Wattalpam]]*$R$11</f>
        <v>89</v>
      </c>
      <c r="L30" s="31" t="s">
        <v>124</v>
      </c>
    </row>
    <row r="31" spans="1:13" s="5" customFormat="1" ht="31.5" customHeight="1" x14ac:dyDescent="0.35">
      <c r="A31" s="31">
        <f t="shared" si="0"/>
        <v>48</v>
      </c>
      <c r="B31" t="s">
        <v>52</v>
      </c>
      <c r="C31" s="31">
        <v>1</v>
      </c>
      <c r="D31" s="31"/>
      <c r="E31" s="31"/>
      <c r="F31" s="31"/>
      <c r="G31" s="34"/>
      <c r="H31" s="31"/>
      <c r="I31" s="46" t="s">
        <v>107</v>
      </c>
      <c r="J31" s="31"/>
      <c r="K31" s="33">
        <f>Table1[[#This Row],[Full M/Savan]]*$O$11+Table1[[#This Row],[Half M/Savan]]*$P$11+Table1[[#This Row],[Extra Chicken]]*$Q$11+Table1[[#This Row],[Extra Wattalpam]]*$R$11</f>
        <v>89</v>
      </c>
      <c r="L31" s="31" t="s">
        <v>124</v>
      </c>
    </row>
    <row r="32" spans="1:13" s="5" customFormat="1" ht="19.5" customHeight="1" x14ac:dyDescent="0.35">
      <c r="A32" s="31">
        <f t="shared" si="0"/>
        <v>49</v>
      </c>
      <c r="B32" t="s">
        <v>108</v>
      </c>
      <c r="C32" s="31"/>
      <c r="D32" s="31">
        <v>1</v>
      </c>
      <c r="E32" s="31"/>
      <c r="F32" s="31"/>
      <c r="G32" s="34"/>
      <c r="H32" s="31"/>
      <c r="I32" s="46" t="s">
        <v>109</v>
      </c>
      <c r="J32" s="31"/>
      <c r="K32" s="33">
        <f>Table1[[#This Row],[Full M/Savan]]*$O$11+Table1[[#This Row],[Half M/Savan]]*$P$11+Table1[[#This Row],[Extra Chicken]]*$Q$11+Table1[[#This Row],[Extra Wattalpam]]*$R$11</f>
        <v>48</v>
      </c>
      <c r="L32" s="31" t="s">
        <v>124</v>
      </c>
    </row>
    <row r="33" spans="1:14" s="5" customFormat="1" ht="18" customHeight="1" x14ac:dyDescent="0.35">
      <c r="A33" s="31">
        <f t="shared" si="0"/>
        <v>50</v>
      </c>
      <c r="B33" t="s">
        <v>53</v>
      </c>
      <c r="C33" s="31">
        <v>1</v>
      </c>
      <c r="D33" s="31"/>
      <c r="E33" s="31"/>
      <c r="F33" s="31"/>
      <c r="G33" s="34">
        <v>1</v>
      </c>
      <c r="H33" s="31"/>
      <c r="I33" s="46">
        <v>2084266905</v>
      </c>
      <c r="J33" s="31"/>
      <c r="K33" s="33">
        <f>Table1[[#This Row],[Full M/Savan]]*$O$11+Table1[[#This Row],[Half M/Savan]]*$P$11+Table1[[#This Row],[Extra Chicken]]*$Q$11+Table1[[#This Row],[Extra Wattalpam]]*$R$11</f>
        <v>105</v>
      </c>
      <c r="L33" s="31" t="s">
        <v>124</v>
      </c>
    </row>
    <row r="34" spans="1:14" s="5" customFormat="1" ht="24" customHeight="1" x14ac:dyDescent="0.35">
      <c r="A34" s="31">
        <f t="shared" si="0"/>
        <v>51</v>
      </c>
      <c r="B34" t="s">
        <v>30</v>
      </c>
      <c r="C34" s="31">
        <v>1</v>
      </c>
      <c r="D34" s="31"/>
      <c r="E34" s="31"/>
      <c r="F34" s="31"/>
      <c r="G34" s="34">
        <v>1</v>
      </c>
      <c r="H34" s="31"/>
      <c r="I34" s="46" t="s">
        <v>110</v>
      </c>
      <c r="J34" s="31"/>
      <c r="K34" s="33">
        <f>Table1[[#This Row],[Full M/Savan]]*$O$11+Table1[[#This Row],[Half M/Savan]]*$P$11+Table1[[#This Row],[Extra Chicken]]*$Q$11+Table1[[#This Row],[Extra Wattalpam]]*$R$11</f>
        <v>105</v>
      </c>
      <c r="L34" s="31" t="s">
        <v>124</v>
      </c>
    </row>
    <row r="35" spans="1:14" s="5" customFormat="1" ht="23" customHeight="1" x14ac:dyDescent="0.35">
      <c r="A35" s="31">
        <f t="shared" si="0"/>
        <v>52</v>
      </c>
      <c r="B35" t="s">
        <v>54</v>
      </c>
      <c r="C35" s="31">
        <v>1</v>
      </c>
      <c r="D35" s="31"/>
      <c r="E35" s="31"/>
      <c r="F35" s="31"/>
      <c r="G35" s="34"/>
      <c r="H35" s="31"/>
      <c r="I35" s="46" t="s">
        <v>111</v>
      </c>
      <c r="J35" s="31"/>
      <c r="K35" s="33">
        <f>Table1[[#This Row],[Full M/Savan]]*$O$11+Table1[[#This Row],[Half M/Savan]]*$P$11+Table1[[#This Row],[Extra Chicken]]*$Q$11+Table1[[#This Row],[Extra Wattalpam]]*$R$11</f>
        <v>89</v>
      </c>
      <c r="L35" s="31" t="s">
        <v>124</v>
      </c>
    </row>
    <row r="36" spans="1:14" s="5" customFormat="1" ht="20.5" customHeight="1" x14ac:dyDescent="0.35">
      <c r="A36" s="31">
        <f t="shared" si="0"/>
        <v>53</v>
      </c>
      <c r="B36" t="s">
        <v>55</v>
      </c>
      <c r="C36" s="31">
        <v>3</v>
      </c>
      <c r="D36" s="31"/>
      <c r="E36" s="31"/>
      <c r="F36" s="31"/>
      <c r="G36" s="34"/>
      <c r="H36" s="31"/>
      <c r="I36" s="31"/>
      <c r="J36" s="31"/>
      <c r="K36" s="33">
        <f>Table1[[#This Row],[Full M/Savan]]*$O$11+Table1[[#This Row],[Half M/Savan]]*$P$11+Table1[[#This Row],[Extra Chicken]]*$Q$11+Table1[[#This Row],[Extra Wattalpam]]*$R$11</f>
        <v>267</v>
      </c>
      <c r="L36" s="31" t="s">
        <v>124</v>
      </c>
    </row>
    <row r="37" spans="1:14" s="5" customFormat="1" ht="16" x14ac:dyDescent="0.35">
      <c r="A37" s="31">
        <f t="shared" si="0"/>
        <v>54</v>
      </c>
      <c r="B37" t="s">
        <v>135</v>
      </c>
      <c r="C37" s="31">
        <v>2</v>
      </c>
      <c r="D37" s="31"/>
      <c r="E37" s="31"/>
      <c r="F37" s="31"/>
      <c r="G37" s="34"/>
      <c r="H37" s="31"/>
      <c r="I37" s="46" t="s">
        <v>112</v>
      </c>
      <c r="J37" s="31" t="s">
        <v>154</v>
      </c>
      <c r="K37" s="33">
        <f>Table1[[#This Row],[Full M/Savan]]*$O$11+Table1[[#This Row],[Half M/Savan]]*$P$11+Table1[[#This Row],[Extra Chicken]]*$Q$11+Table1[[#This Row],[Extra Wattalpam]]*$R$11</f>
        <v>178</v>
      </c>
      <c r="L37" s="31" t="s">
        <v>124</v>
      </c>
      <c r="M37" s="5" t="s">
        <v>136</v>
      </c>
    </row>
    <row r="38" spans="1:14" s="5" customFormat="1" ht="16" x14ac:dyDescent="0.35">
      <c r="A38" s="31">
        <f t="shared" si="0"/>
        <v>55</v>
      </c>
      <c r="B38" t="s">
        <v>31</v>
      </c>
      <c r="C38" s="31"/>
      <c r="D38" s="31">
        <v>2</v>
      </c>
      <c r="E38" s="31"/>
      <c r="F38" s="31"/>
      <c r="G38" s="34">
        <v>1</v>
      </c>
      <c r="H38" s="31"/>
      <c r="I38" s="32"/>
      <c r="J38" s="31" t="s">
        <v>138</v>
      </c>
      <c r="K38" s="33">
        <f>Table1[[#This Row],[Full M/Savan]]*$O$11+Table1[[#This Row],[Half M/Savan]]*$P$11+Table1[[#This Row],[Extra Chicken]]*$Q$11+Table1[[#This Row],[Extra Wattalpam]]*$R$11</f>
        <v>112</v>
      </c>
      <c r="L38" s="31" t="s">
        <v>124</v>
      </c>
      <c r="M38" s="5" t="s">
        <v>134</v>
      </c>
      <c r="N38" s="5" t="s">
        <v>158</v>
      </c>
    </row>
    <row r="39" spans="1:14" s="5" customFormat="1" ht="16" x14ac:dyDescent="0.35">
      <c r="A39" s="31">
        <f t="shared" si="0"/>
        <v>56</v>
      </c>
      <c r="B39" t="s">
        <v>113</v>
      </c>
      <c r="C39" s="31">
        <v>3</v>
      </c>
      <c r="D39" s="31">
        <v>1</v>
      </c>
      <c r="E39" s="31"/>
      <c r="F39" s="31"/>
      <c r="G39" s="34">
        <v>4</v>
      </c>
      <c r="H39" s="31"/>
      <c r="I39" s="31"/>
      <c r="J39" s="31" t="s">
        <v>138</v>
      </c>
      <c r="K39" s="33">
        <f>Table1[[#This Row],[Full M/Savan]]*$O$11+Table1[[#This Row],[Half M/Savan]]*$P$11+Table1[[#This Row],[Extra Chicken]]*$Q$11+Table1[[#This Row],[Extra Wattalpam]]*$R$11</f>
        <v>379</v>
      </c>
      <c r="L39" s="31" t="s">
        <v>124</v>
      </c>
      <c r="M39" s="5" t="s">
        <v>134</v>
      </c>
    </row>
    <row r="40" spans="1:14" s="5" customFormat="1" ht="16" x14ac:dyDescent="0.35">
      <c r="A40" s="31">
        <f t="shared" si="0"/>
        <v>57</v>
      </c>
      <c r="B40" t="s">
        <v>114</v>
      </c>
      <c r="C40" s="31">
        <v>2</v>
      </c>
      <c r="D40" s="31"/>
      <c r="E40" s="31"/>
      <c r="F40" s="31"/>
      <c r="G40" s="34"/>
      <c r="H40" s="31"/>
      <c r="I40" s="32">
        <v>7792746434</v>
      </c>
      <c r="J40" s="31"/>
      <c r="K40" s="33">
        <f>Table1[[#This Row],[Full M/Savan]]*$O$11+Table1[[#This Row],[Half M/Savan]]*$P$11+Table1[[#This Row],[Extra Chicken]]*$Q$11+Table1[[#This Row],[Extra Wattalpam]]*$R$11</f>
        <v>178</v>
      </c>
      <c r="L40" s="31" t="s">
        <v>124</v>
      </c>
    </row>
    <row r="41" spans="1:14" s="5" customFormat="1" ht="16" x14ac:dyDescent="0.35">
      <c r="A41" s="31">
        <f t="shared" si="0"/>
        <v>58</v>
      </c>
      <c r="B41" t="s">
        <v>115</v>
      </c>
      <c r="C41" s="31">
        <v>1</v>
      </c>
      <c r="D41" s="31">
        <v>1</v>
      </c>
      <c r="E41" s="31"/>
      <c r="F41" s="31"/>
      <c r="G41" s="34">
        <v>1</v>
      </c>
      <c r="H41" s="31"/>
      <c r="I41" s="32">
        <v>7814753999</v>
      </c>
      <c r="J41" s="31"/>
      <c r="K41" s="33">
        <f>Table1[[#This Row],[Full M/Savan]]*$O$11+Table1[[#This Row],[Half M/Savan]]*$P$11+Table1[[#This Row],[Extra Chicken]]*$Q$11+Table1[[#This Row],[Extra Wattalpam]]*$R$11</f>
        <v>153</v>
      </c>
      <c r="L41" s="31" t="s">
        <v>124</v>
      </c>
    </row>
    <row r="42" spans="1:14" s="5" customFormat="1" ht="16" x14ac:dyDescent="0.35">
      <c r="A42" s="48">
        <f t="shared" si="0"/>
        <v>59</v>
      </c>
      <c r="B42" t="s">
        <v>32</v>
      </c>
      <c r="C42" s="31">
        <v>1</v>
      </c>
      <c r="D42" s="31"/>
      <c r="E42" s="31"/>
      <c r="F42" s="31"/>
      <c r="G42" s="34"/>
      <c r="H42" s="31"/>
      <c r="I42" s="32">
        <v>7488707930</v>
      </c>
      <c r="J42" s="31"/>
      <c r="K42" s="33">
        <f>Table1[[#This Row],[Full M/Savan]]*$O$11+Table1[[#This Row],[Half M/Savan]]*$P$11+Table1[[#This Row],[Extra Chicken]]*$Q$11+Table1[[#This Row],[Extra Wattalpam]]*$R$11</f>
        <v>89</v>
      </c>
      <c r="L42" s="31" t="s">
        <v>124</v>
      </c>
    </row>
    <row r="43" spans="1:14" s="5" customFormat="1" ht="21" customHeight="1" x14ac:dyDescent="0.35">
      <c r="A43" s="31">
        <f t="shared" si="0"/>
        <v>60</v>
      </c>
      <c r="B43" t="s">
        <v>116</v>
      </c>
      <c r="C43" s="31"/>
      <c r="D43" s="31">
        <v>1</v>
      </c>
      <c r="E43" s="31"/>
      <c r="F43" s="31"/>
      <c r="G43" s="34"/>
      <c r="H43" s="31"/>
      <c r="I43" s="32">
        <v>7853887867</v>
      </c>
      <c r="J43" s="33"/>
      <c r="K43" s="33">
        <f>Table1[[#This Row],[Full M/Savan]]*$O$11+Table1[[#This Row],[Half M/Savan]]*$P$11+Table1[[#This Row],[Extra Chicken]]*$Q$11+Table1[[#This Row],[Extra Wattalpam]]*$R$11</f>
        <v>48</v>
      </c>
      <c r="L43" s="31" t="s">
        <v>124</v>
      </c>
    </row>
    <row r="44" spans="1:14" s="5" customFormat="1" ht="16" x14ac:dyDescent="0.35">
      <c r="A44" s="31">
        <f t="shared" si="0"/>
        <v>61</v>
      </c>
      <c r="B44" t="s">
        <v>34</v>
      </c>
      <c r="C44" s="31">
        <v>1</v>
      </c>
      <c r="D44" s="31"/>
      <c r="E44" s="31"/>
      <c r="F44" s="31"/>
      <c r="G44" s="34">
        <v>1</v>
      </c>
      <c r="H44" s="31"/>
      <c r="I44" s="32">
        <v>7896771456</v>
      </c>
      <c r="J44" s="31"/>
      <c r="K44" s="33">
        <f>Table1[[#This Row],[Full M/Savan]]*$O$11+Table1[[#This Row],[Half M/Savan]]*$P$11+Table1[[#This Row],[Extra Chicken]]*$Q$11+Table1[[#This Row],[Extra Wattalpam]]*$R$11</f>
        <v>105</v>
      </c>
      <c r="L44" s="31" t="s">
        <v>124</v>
      </c>
    </row>
    <row r="45" spans="1:14" s="5" customFormat="1" ht="16" x14ac:dyDescent="0.35">
      <c r="A45" s="31">
        <f t="shared" si="0"/>
        <v>62</v>
      </c>
      <c r="B45" t="s">
        <v>56</v>
      </c>
      <c r="C45" s="45">
        <v>1</v>
      </c>
      <c r="D45" s="45">
        <v>1</v>
      </c>
      <c r="E45" s="45"/>
      <c r="F45" s="45"/>
      <c r="G45" s="45">
        <v>1</v>
      </c>
      <c r="H45" s="45"/>
      <c r="I45" s="32">
        <v>7939829908</v>
      </c>
      <c r="J45"/>
      <c r="K45" s="33">
        <f>Table1[[#This Row],[Full M/Savan]]*$O$11+Table1[[#This Row],[Half M/Savan]]*$P$11+Table1[[#This Row],[Extra Chicken]]*$Q$11+Table1[[#This Row],[Extra Wattalpam]]*$R$11</f>
        <v>153</v>
      </c>
      <c r="L45" s="31" t="s">
        <v>124</v>
      </c>
    </row>
    <row r="46" spans="1:14" s="5" customFormat="1" ht="16" x14ac:dyDescent="0.35">
      <c r="A46" s="31">
        <f t="shared" si="0"/>
        <v>63</v>
      </c>
      <c r="B46" t="s">
        <v>27</v>
      </c>
      <c r="C46" s="45"/>
      <c r="D46" s="45">
        <v>2</v>
      </c>
      <c r="E46" s="45"/>
      <c r="F46" s="45"/>
      <c r="G46" s="45"/>
      <c r="H46" s="45"/>
      <c r="I46" s="31">
        <v>7411107111</v>
      </c>
      <c r="J46"/>
      <c r="K46" s="33">
        <f>Table1[[#This Row],[Full M/Savan]]*$O$11+Table1[[#This Row],[Half M/Savan]]*$P$11+Table1[[#This Row],[Extra Chicken]]*$Q$11+Table1[[#This Row],[Extra Wattalpam]]*$R$11</f>
        <v>96</v>
      </c>
      <c r="L46" s="31" t="s">
        <v>124</v>
      </c>
    </row>
    <row r="47" spans="1:14" s="5" customFormat="1" ht="16" x14ac:dyDescent="0.35">
      <c r="A47" s="31">
        <f t="shared" si="0"/>
        <v>64</v>
      </c>
      <c r="B47" t="s">
        <v>117</v>
      </c>
      <c r="C47" s="45">
        <v>1</v>
      </c>
      <c r="D47" s="45"/>
      <c r="E47" s="45"/>
      <c r="F47" s="45"/>
      <c r="G47" s="45"/>
      <c r="H47" s="45"/>
      <c r="I47" s="32">
        <v>7858215105</v>
      </c>
      <c r="J47" t="s">
        <v>118</v>
      </c>
      <c r="K47" s="33">
        <f>Table1[[#This Row],[Full M/Savan]]*$O$11+Table1[[#This Row],[Half M/Savan]]*$P$11+Table1[[#This Row],[Extra Chicken]]*$Q$11+Table1[[#This Row],[Extra Wattalpam]]*$R$11</f>
        <v>89</v>
      </c>
      <c r="L47" s="31" t="s">
        <v>124</v>
      </c>
    </row>
    <row r="48" spans="1:14" s="5" customFormat="1" ht="16" x14ac:dyDescent="0.35">
      <c r="A48" s="31">
        <f t="shared" si="0"/>
        <v>65</v>
      </c>
      <c r="B48" t="s">
        <v>119</v>
      </c>
      <c r="C48" s="45"/>
      <c r="D48" s="45">
        <v>1</v>
      </c>
      <c r="E48" s="45"/>
      <c r="F48" s="45"/>
      <c r="G48" s="45">
        <v>0.5</v>
      </c>
      <c r="H48" s="45"/>
      <c r="I48" s="32">
        <v>7740395465</v>
      </c>
      <c r="J48"/>
      <c r="K48" s="33">
        <f>Table1[[#This Row],[Full M/Savan]]*$O$11+Table1[[#This Row],[Half M/Savan]]*$P$11+Table1[[#This Row],[Extra Chicken]]*$Q$11+Table1[[#This Row],[Extra Wattalpam]]*$R$11+11.7</f>
        <v>67.7</v>
      </c>
      <c r="L48" s="31" t="s">
        <v>124</v>
      </c>
    </row>
    <row r="49" spans="1:13" s="5" customFormat="1" ht="16" x14ac:dyDescent="0.35">
      <c r="A49" s="31">
        <f t="shared" si="0"/>
        <v>66</v>
      </c>
      <c r="B49" t="s">
        <v>57</v>
      </c>
      <c r="C49" s="45"/>
      <c r="D49" s="45">
        <v>2</v>
      </c>
      <c r="E49" s="45"/>
      <c r="F49" s="45"/>
      <c r="G49" s="45"/>
      <c r="H49" s="45"/>
      <c r="I49" s="32">
        <v>7868613575</v>
      </c>
      <c r="J49" t="s">
        <v>152</v>
      </c>
      <c r="K49" s="33">
        <f>Table1[[#This Row],[Full M/Savan]]*$O$11+Table1[[#This Row],[Half M/Savan]]*$P$11+Table1[[#This Row],[Extra Chicken]]*$Q$11+Table1[[#This Row],[Extra Wattalpam]]*$R$11</f>
        <v>96</v>
      </c>
      <c r="L49" s="31" t="s">
        <v>124</v>
      </c>
    </row>
    <row r="50" spans="1:13" s="5" customFormat="1" ht="16" x14ac:dyDescent="0.35">
      <c r="A50" s="31">
        <f t="shared" si="0"/>
        <v>67</v>
      </c>
      <c r="B50" t="s">
        <v>58</v>
      </c>
      <c r="C50" s="45"/>
      <c r="D50" s="45">
        <v>1</v>
      </c>
      <c r="E50" s="45"/>
      <c r="F50" s="45"/>
      <c r="G50" s="45"/>
      <c r="H50" s="45"/>
      <c r="I50" s="32">
        <v>7403074711</v>
      </c>
      <c r="J50" t="s">
        <v>153</v>
      </c>
      <c r="K50" s="33">
        <f>Table1[[#This Row],[Full M/Savan]]*$O$11+Table1[[#This Row],[Half M/Savan]]*$P$11+Table1[[#This Row],[Extra Chicken]]*$Q$11+Table1[[#This Row],[Extra Wattalpam]]*$R$11</f>
        <v>48</v>
      </c>
      <c r="L50" s="31" t="s">
        <v>124</v>
      </c>
    </row>
    <row r="51" spans="1:13" s="5" customFormat="1" ht="16" x14ac:dyDescent="0.35">
      <c r="A51" s="31">
        <f t="shared" si="0"/>
        <v>68</v>
      </c>
      <c r="B51" t="s">
        <v>59</v>
      </c>
      <c r="C51" s="45">
        <v>1</v>
      </c>
      <c r="D51" s="45">
        <v>2</v>
      </c>
      <c r="E51" s="45"/>
      <c r="F51" s="45"/>
      <c r="G51" s="45"/>
      <c r="H51" s="45"/>
      <c r="I51" s="32">
        <v>7944864246</v>
      </c>
      <c r="J51" t="s">
        <v>141</v>
      </c>
      <c r="K51" s="33">
        <f>Table1[[#This Row],[Full M/Savan]]*$O$11+Table1[[#This Row],[Half M/Savan]]*$P$11+Table1[[#This Row],[Extra Chicken]]*$Q$11+Table1[[#This Row],[Extra Wattalpam]]*$R$11+20</f>
        <v>205</v>
      </c>
      <c r="L51" s="31" t="s">
        <v>124</v>
      </c>
    </row>
    <row r="52" spans="1:13" s="5" customFormat="1" ht="16" x14ac:dyDescent="0.35">
      <c r="A52" s="31">
        <f t="shared" si="0"/>
        <v>69</v>
      </c>
      <c r="B52" t="s">
        <v>60</v>
      </c>
      <c r="C52" s="45">
        <v>1</v>
      </c>
      <c r="D52" s="45"/>
      <c r="E52" s="45"/>
      <c r="F52" s="45"/>
      <c r="G52" s="45"/>
      <c r="H52" s="45"/>
      <c r="I52" s="32">
        <v>7853887867</v>
      </c>
      <c r="J52"/>
      <c r="K52" s="33">
        <f>Table1[[#This Row],[Full M/Savan]]*$O$11+Table1[[#This Row],[Half M/Savan]]*$P$11+Table1[[#This Row],[Extra Chicken]]*$Q$11+Table1[[#This Row],[Extra Wattalpam]]*$R$11</f>
        <v>89</v>
      </c>
      <c r="L52" s="31" t="s">
        <v>124</v>
      </c>
    </row>
    <row r="53" spans="1:13" s="5" customFormat="1" ht="16" x14ac:dyDescent="0.35">
      <c r="A53" s="31">
        <f t="shared" si="0"/>
        <v>70</v>
      </c>
      <c r="B53" t="s">
        <v>61</v>
      </c>
      <c r="C53" s="45">
        <v>1</v>
      </c>
      <c r="D53" s="45"/>
      <c r="E53" s="45"/>
      <c r="F53" s="45"/>
      <c r="G53" s="45"/>
      <c r="H53" s="45"/>
      <c r="I53" s="32">
        <v>7445333985</v>
      </c>
      <c r="J53" t="s">
        <v>82</v>
      </c>
      <c r="K53" s="33">
        <f>Table1[[#This Row],[Full M/Savan]]*$O$11+Table1[[#This Row],[Half M/Savan]]*$P$11+Table1[[#This Row],[Extra Chicken]]*$Q$11+Table1[[#This Row],[Extra Wattalpam]]*$R$11</f>
        <v>89</v>
      </c>
      <c r="L53" s="31" t="s">
        <v>124</v>
      </c>
    </row>
    <row r="54" spans="1:13" s="5" customFormat="1" ht="16" x14ac:dyDescent="0.35">
      <c r="A54" s="31">
        <f t="shared" si="0"/>
        <v>71</v>
      </c>
      <c r="B54"/>
      <c r="C54" s="45"/>
      <c r="D54" s="45"/>
      <c r="E54" s="45"/>
      <c r="F54" s="45"/>
      <c r="G54" s="45">
        <v>1</v>
      </c>
      <c r="H54" s="45"/>
      <c r="I54" s="32">
        <v>7475257975</v>
      </c>
      <c r="J54" t="s">
        <v>143</v>
      </c>
      <c r="K54" s="33">
        <f>Table1[[#This Row],[Full M/Savan]]*$O$11+Table1[[#This Row],[Half M/Savan]]*$P$11+Table1[[#This Row],[Extra Chicken]]*$Q$11+Table1[[#This Row],[Extra Wattalpam]]*$R$11+7.5</f>
        <v>23.5</v>
      </c>
      <c r="L54" s="31" t="s">
        <v>124</v>
      </c>
    </row>
    <row r="55" spans="1:13" s="5" customFormat="1" ht="16" x14ac:dyDescent="0.35">
      <c r="A55" s="31">
        <f t="shared" si="0"/>
        <v>72</v>
      </c>
      <c r="B55" t="s">
        <v>19</v>
      </c>
      <c r="C55" s="45"/>
      <c r="D55" s="45">
        <v>3</v>
      </c>
      <c r="E55" s="45"/>
      <c r="F55" s="45"/>
      <c r="G55" s="45">
        <v>1.5</v>
      </c>
      <c r="H55" s="45"/>
      <c r="I55" s="32">
        <v>7956174766</v>
      </c>
      <c r="J55"/>
      <c r="K55" s="33">
        <f>Table1[[#This Row],[Full M/Savan]]*$O$11+Table1[[#This Row],[Half M/Savan]]*$P$11+Table1[[#This Row],[Extra Chicken]]*$Q$11+Table1[[#This Row],[Extra Wattalpam]]*$R$11</f>
        <v>168</v>
      </c>
      <c r="L55" s="31" t="s">
        <v>124</v>
      </c>
    </row>
    <row r="56" spans="1:13" s="5" customFormat="1" ht="16" x14ac:dyDescent="0.35">
      <c r="A56" s="31">
        <f t="shared" si="0"/>
        <v>73</v>
      </c>
      <c r="B56" t="s">
        <v>62</v>
      </c>
      <c r="C56" s="45">
        <v>1</v>
      </c>
      <c r="D56" s="45"/>
      <c r="E56" s="45"/>
      <c r="F56" s="45"/>
      <c r="G56" s="45"/>
      <c r="H56" s="45"/>
      <c r="I56" s="32">
        <v>7577757775</v>
      </c>
      <c r="J56"/>
      <c r="K56" s="33">
        <f>Table1[[#This Row],[Full M/Savan]]*$O$11+Table1[[#This Row],[Half M/Savan]]*$P$11+Table1[[#This Row],[Extra Chicken]]*$Q$11+Table1[[#This Row],[Extra Wattalpam]]*$R$11</f>
        <v>89</v>
      </c>
      <c r="L56" s="31" t="s">
        <v>124</v>
      </c>
    </row>
    <row r="57" spans="1:13" s="5" customFormat="1" ht="16" x14ac:dyDescent="0.35">
      <c r="A57" s="31">
        <f t="shared" si="0"/>
        <v>74</v>
      </c>
      <c r="B57" t="s">
        <v>63</v>
      </c>
      <c r="C57" s="45"/>
      <c r="D57" s="45">
        <v>1</v>
      </c>
      <c r="E57" s="45"/>
      <c r="F57" s="45"/>
      <c r="G57" s="45">
        <v>0.5</v>
      </c>
      <c r="H57" s="45"/>
      <c r="I57" s="32">
        <v>7766111916</v>
      </c>
      <c r="J57" t="s">
        <v>82</v>
      </c>
      <c r="K57" s="33">
        <f>Table1[[#This Row],[Full M/Savan]]*$O$11+Table1[[#This Row],[Half M/Savan]]*$P$11+Table1[[#This Row],[Extra Chicken]]*$Q$11+Table1[[#This Row],[Extra Wattalpam]]*$R$11</f>
        <v>56</v>
      </c>
      <c r="L57" s="31" t="s">
        <v>124</v>
      </c>
    </row>
    <row r="58" spans="1:13" s="5" customFormat="1" ht="16" x14ac:dyDescent="0.35">
      <c r="A58" s="31">
        <f t="shared" si="0"/>
        <v>75</v>
      </c>
      <c r="B58" t="s">
        <v>64</v>
      </c>
      <c r="C58" s="45">
        <v>1</v>
      </c>
      <c r="D58" s="45"/>
      <c r="E58" s="45"/>
      <c r="F58" s="45"/>
      <c r="G58" s="45"/>
      <c r="H58" s="45"/>
      <c r="I58" s="32">
        <v>7428387788</v>
      </c>
      <c r="J58"/>
      <c r="K58" s="33">
        <f>Table1[[#This Row],[Full M/Savan]]*$O$11+Table1[[#This Row],[Half M/Savan]]*$P$11+Table1[[#This Row],[Extra Chicken]]*$Q$11+Table1[[#This Row],[Extra Wattalpam]]*$R$11</f>
        <v>89</v>
      </c>
      <c r="L58" s="31" t="s">
        <v>124</v>
      </c>
    </row>
    <row r="59" spans="1:13" s="5" customFormat="1" ht="16" x14ac:dyDescent="0.35">
      <c r="A59" s="31">
        <f t="shared" si="0"/>
        <v>76</v>
      </c>
      <c r="B59" t="s">
        <v>120</v>
      </c>
      <c r="C59" s="45"/>
      <c r="D59" s="45">
        <v>1</v>
      </c>
      <c r="E59" s="45"/>
      <c r="F59" s="45"/>
      <c r="G59" s="45"/>
      <c r="H59" s="45"/>
      <c r="I59" s="32">
        <v>7815575007</v>
      </c>
      <c r="J59" t="s">
        <v>121</v>
      </c>
      <c r="K59" s="33">
        <f>Table1[[#This Row],[Full M/Savan]]*$O$11+Table1[[#This Row],[Half M/Savan]]*$P$11+Table1[[#This Row],[Extra Chicken]]*$Q$11+Table1[[#This Row],[Extra Wattalpam]]*$R$11</f>
        <v>48</v>
      </c>
      <c r="L59" s="31" t="s">
        <v>124</v>
      </c>
    </row>
    <row r="60" spans="1:13" s="5" customFormat="1" ht="16" x14ac:dyDescent="0.35">
      <c r="A60" s="31">
        <f t="shared" si="0"/>
        <v>77</v>
      </c>
      <c r="B60" t="s">
        <v>65</v>
      </c>
      <c r="C60" s="45">
        <v>1</v>
      </c>
      <c r="D60" s="45">
        <v>1</v>
      </c>
      <c r="E60" s="45"/>
      <c r="F60" s="45"/>
      <c r="G60" s="45"/>
      <c r="H60" s="45">
        <v>0.5</v>
      </c>
      <c r="I60" s="32">
        <v>7450967216</v>
      </c>
      <c r="J60"/>
      <c r="K60" s="33">
        <f>Table1[[#This Row],[Full M/Savan]]*$O$11+Table1[[#This Row],[Half M/Savan]]*$P$11+Table1[[#This Row],[Extra Chicken]]*$Q$11+Table1[[#This Row],[Extra Wattalpam]]*$R$11</f>
        <v>145</v>
      </c>
      <c r="L60" s="31" t="s">
        <v>124</v>
      </c>
    </row>
    <row r="61" spans="1:13" s="5" customFormat="1" ht="16" x14ac:dyDescent="0.35">
      <c r="A61" s="31">
        <f t="shared" si="0"/>
        <v>78</v>
      </c>
      <c r="B61" t="s">
        <v>66</v>
      </c>
      <c r="C61" s="45">
        <v>1</v>
      </c>
      <c r="D61" s="45"/>
      <c r="E61" s="45"/>
      <c r="F61" s="45"/>
      <c r="G61" s="45"/>
      <c r="H61" s="45"/>
      <c r="I61" s="32">
        <v>7940589786</v>
      </c>
      <c r="J61"/>
      <c r="K61" s="33">
        <f>Table1[[#This Row],[Full M/Savan]]*$O$11+Table1[[#This Row],[Half M/Savan]]*$P$11+Table1[[#This Row],[Extra Chicken]]*$Q$11+Table1[[#This Row],[Extra Wattalpam]]*$R$11</f>
        <v>89</v>
      </c>
      <c r="L61" s="31" t="s">
        <v>124</v>
      </c>
    </row>
    <row r="62" spans="1:13" s="15" customFormat="1" ht="16" x14ac:dyDescent="0.35">
      <c r="A62" s="31">
        <f t="shared" si="0"/>
        <v>79</v>
      </c>
      <c r="B62" s="31" t="s">
        <v>67</v>
      </c>
      <c r="C62" s="31"/>
      <c r="D62" s="31">
        <v>1</v>
      </c>
      <c r="E62" s="31"/>
      <c r="F62" s="45"/>
      <c r="G62" s="45"/>
      <c r="H62" s="45">
        <v>1</v>
      </c>
      <c r="I62" s="1" t="s">
        <v>74</v>
      </c>
      <c r="J62"/>
      <c r="K62" s="33">
        <f>Table1[[#This Row],[Full M/Savan]]*$O$11+Table1[[#This Row],[Half M/Savan]]*$P$11+Table1[[#This Row],[Extra Chicken]]*$Q$11+Table1[[#This Row],[Extra Wattalpam]]*$R$11</f>
        <v>64</v>
      </c>
      <c r="L62" s="31" t="s">
        <v>124</v>
      </c>
      <c r="M62" s="5"/>
    </row>
    <row r="63" spans="1:13" s="5" customFormat="1" ht="16" x14ac:dyDescent="0.35">
      <c r="A63" s="31">
        <f t="shared" si="0"/>
        <v>80</v>
      </c>
      <c r="B63" t="s">
        <v>68</v>
      </c>
      <c r="C63" s="31"/>
      <c r="D63" s="31">
        <v>1</v>
      </c>
      <c r="E63" s="31"/>
      <c r="F63" s="31"/>
      <c r="G63" s="34"/>
      <c r="H63" s="31"/>
      <c r="I63" s="32">
        <v>7944385622</v>
      </c>
      <c r="J63" s="31"/>
      <c r="K63" s="33">
        <f>Table1[[#This Row],[Full M/Savan]]*$O$11+Table1[[#This Row],[Half M/Savan]]*$P$11+Table1[[#This Row],[Extra Chicken]]*$Q$11+Table1[[#This Row],[Extra Wattalpam]]*$R$11</f>
        <v>48</v>
      </c>
      <c r="L63" s="31" t="s">
        <v>124</v>
      </c>
    </row>
    <row r="64" spans="1:13" s="5" customFormat="1" ht="16" x14ac:dyDescent="0.35">
      <c r="A64" s="31">
        <f t="shared" si="0"/>
        <v>81</v>
      </c>
      <c r="B64" t="s">
        <v>122</v>
      </c>
      <c r="C64" s="31">
        <v>1</v>
      </c>
      <c r="D64" s="31"/>
      <c r="E64" s="31"/>
      <c r="F64" s="31"/>
      <c r="G64" s="34"/>
      <c r="H64" s="31">
        <v>1</v>
      </c>
      <c r="I64" s="32"/>
      <c r="J64" s="31"/>
      <c r="K64" s="33">
        <f>Table1[[#This Row],[Full M/Savan]]*$O$11+Table1[[#This Row],[Half M/Savan]]*$P$11+Table1[[#This Row],[Extra Chicken]]*$Q$11+Table1[[#This Row],[Extra Wattalpam]]*$R$11</f>
        <v>105</v>
      </c>
      <c r="L64" s="31" t="s">
        <v>124</v>
      </c>
      <c r="M64" s="5" t="s">
        <v>157</v>
      </c>
    </row>
    <row r="65" spans="1:18" s="5" customFormat="1" ht="21" customHeight="1" x14ac:dyDescent="0.35">
      <c r="A65" s="31">
        <f t="shared" si="0"/>
        <v>82</v>
      </c>
      <c r="B65" t="s">
        <v>69</v>
      </c>
      <c r="C65" s="31">
        <v>1</v>
      </c>
      <c r="D65" s="31"/>
      <c r="E65" s="31"/>
      <c r="F65" s="31"/>
      <c r="G65" s="34">
        <v>1</v>
      </c>
      <c r="H65" s="31">
        <v>1</v>
      </c>
      <c r="I65" s="32">
        <v>7568364576</v>
      </c>
      <c r="J65" s="31"/>
      <c r="K65" s="33">
        <f>Table1[[#This Row],[Full M/Savan]]*$O$11+Table1[[#This Row],[Half M/Savan]]*$P$11+Table1[[#This Row],[Extra Chicken]]*$Q$11+Table1[[#This Row],[Extra Wattalpam]]*$R$11</f>
        <v>121</v>
      </c>
      <c r="L65" s="31" t="s">
        <v>124</v>
      </c>
    </row>
    <row r="66" spans="1:18" s="5" customFormat="1" ht="16" x14ac:dyDescent="0.35">
      <c r="A66" s="31">
        <f t="shared" si="0"/>
        <v>83</v>
      </c>
      <c r="B66" t="s">
        <v>8</v>
      </c>
      <c r="C66" s="31"/>
      <c r="D66" s="31">
        <v>1</v>
      </c>
      <c r="E66" s="31"/>
      <c r="F66" s="31"/>
      <c r="G66" s="34"/>
      <c r="H66" s="31">
        <v>0.5</v>
      </c>
      <c r="I66" s="32">
        <v>7854990960</v>
      </c>
      <c r="J66" s="31" t="s">
        <v>142</v>
      </c>
      <c r="K66" s="33">
        <f>Table1[[#This Row],[Full M/Savan]]*$O$11+Table1[[#This Row],[Half M/Savan]]*$P$11+Table1[[#This Row],[Extra Chicken]]*$Q$11+Table1[[#This Row],[Extra Wattalpam]]*$R$11</f>
        <v>56</v>
      </c>
      <c r="L66" s="31" t="s">
        <v>124</v>
      </c>
    </row>
    <row r="67" spans="1:18" s="5" customFormat="1" ht="16" x14ac:dyDescent="0.35">
      <c r="A67" s="31">
        <f t="shared" si="0"/>
        <v>84</v>
      </c>
      <c r="B67" t="s">
        <v>70</v>
      </c>
      <c r="C67" s="31"/>
      <c r="D67" s="31">
        <v>1</v>
      </c>
      <c r="E67" s="31"/>
      <c r="F67" s="31"/>
      <c r="G67" s="34">
        <v>0.5</v>
      </c>
      <c r="H67" s="31"/>
      <c r="I67" s="32" t="s">
        <v>75</v>
      </c>
      <c r="J67" s="31" t="s">
        <v>149</v>
      </c>
      <c r="K67" s="33">
        <v>70</v>
      </c>
      <c r="L67" s="31" t="s">
        <v>124</v>
      </c>
    </row>
    <row r="68" spans="1:18" s="5" customFormat="1" ht="16" x14ac:dyDescent="0.35">
      <c r="A68" s="31">
        <f t="shared" si="0"/>
        <v>85</v>
      </c>
      <c r="B68" t="s">
        <v>71</v>
      </c>
      <c r="C68" s="31">
        <v>1</v>
      </c>
      <c r="D68" s="31">
        <v>1</v>
      </c>
      <c r="E68" s="31"/>
      <c r="F68" s="31"/>
      <c r="G68" s="34">
        <v>1</v>
      </c>
      <c r="H68" s="31"/>
      <c r="I68" s="32">
        <v>788889888</v>
      </c>
      <c r="J68" s="31"/>
      <c r="K68" s="33">
        <f>Table1[[#This Row],[Full M/Savan]]*$O$11+Table1[[#This Row],[Half M/Savan]]*$P$11+Table1[[#This Row],[Extra Chicken]]*$Q$11+Table1[[#This Row],[Extra Wattalpam]]*$R$11</f>
        <v>153</v>
      </c>
      <c r="L68" s="31" t="s">
        <v>124</v>
      </c>
    </row>
    <row r="69" spans="1:18" s="5" customFormat="1" ht="16" x14ac:dyDescent="0.35">
      <c r="A69" s="31">
        <f t="shared" si="0"/>
        <v>86</v>
      </c>
      <c r="B69" t="s">
        <v>72</v>
      </c>
      <c r="C69" s="31"/>
      <c r="D69" s="31">
        <v>1</v>
      </c>
      <c r="E69" s="31"/>
      <c r="F69" s="31"/>
      <c r="G69" s="34"/>
      <c r="H69" s="31"/>
      <c r="I69" s="32" t="s">
        <v>76</v>
      </c>
      <c r="J69" s="31"/>
      <c r="K69" s="33">
        <f>Table1[[#This Row],[Full M/Savan]]*$O$11+Table1[[#This Row],[Half M/Savan]]*$P$11+Table1[[#This Row],[Extra Chicken]]*$Q$11+Table1[[#This Row],[Extra Wattalpam]]*$R$11</f>
        <v>48</v>
      </c>
      <c r="L69" s="31" t="s">
        <v>124</v>
      </c>
    </row>
    <row r="70" spans="1:18" s="5" customFormat="1" ht="16" x14ac:dyDescent="0.35">
      <c r="A70" s="31">
        <f t="shared" si="0"/>
        <v>87</v>
      </c>
      <c r="B70" s="43" t="s">
        <v>123</v>
      </c>
      <c r="C70" s="31">
        <v>1</v>
      </c>
      <c r="D70" s="31"/>
      <c r="E70" s="31"/>
      <c r="F70" s="31"/>
      <c r="G70" s="34"/>
      <c r="H70" s="31"/>
      <c r="I70" s="31">
        <v>7480060064</v>
      </c>
      <c r="J70" s="31" t="s">
        <v>82</v>
      </c>
      <c r="K70" s="33">
        <f>Table1[[#This Row],[Full M/Savan]]*$O$11+Table1[[#This Row],[Half M/Savan]]*$P$11+Table1[[#This Row],[Extra Chicken]]*$Q$11+Table1[[#This Row],[Extra Wattalpam]]*$R$11</f>
        <v>89</v>
      </c>
      <c r="L70" s="31" t="s">
        <v>124</v>
      </c>
    </row>
    <row r="71" spans="1:18" s="5" customFormat="1" ht="21" customHeight="1" x14ac:dyDescent="0.35">
      <c r="A71" s="31">
        <f t="shared" si="0"/>
        <v>88</v>
      </c>
      <c r="B71" s="43" t="s">
        <v>125</v>
      </c>
      <c r="C71" s="31">
        <v>1</v>
      </c>
      <c r="D71" s="31"/>
      <c r="E71" s="31"/>
      <c r="F71" s="31"/>
      <c r="G71" s="34"/>
      <c r="H71" s="31"/>
      <c r="I71" s="32">
        <v>7460525255</v>
      </c>
      <c r="J71" s="31" t="s">
        <v>151</v>
      </c>
      <c r="K71" s="33">
        <f>Table1[[#This Row],[Full M/Savan]]*$O$11+Table1[[#This Row],[Half M/Savan]]*$P$11+Table1[[#This Row],[Extra Chicken]]*$Q$11+Table1[[#This Row],[Extra Wattalpam]]*$R$11</f>
        <v>89</v>
      </c>
      <c r="L71" s="31" t="s">
        <v>124</v>
      </c>
    </row>
    <row r="72" spans="1:18" s="5" customFormat="1" ht="16" x14ac:dyDescent="0.35">
      <c r="A72" s="31">
        <f t="shared" si="0"/>
        <v>89</v>
      </c>
      <c r="B72" s="43" t="s">
        <v>126</v>
      </c>
      <c r="C72" s="31">
        <v>1</v>
      </c>
      <c r="D72" s="31"/>
      <c r="E72" s="31"/>
      <c r="F72" s="31"/>
      <c r="G72" s="34">
        <v>1</v>
      </c>
      <c r="H72" s="31"/>
      <c r="I72" s="32">
        <v>7916124907</v>
      </c>
      <c r="J72" s="31"/>
      <c r="K72" s="33">
        <f>Table1[[#This Row],[Full M/Savan]]*$O$11+Table1[[#This Row],[Half M/Savan]]*$P$11+Table1[[#This Row],[Extra Chicken]]*$Q$11+Table1[[#This Row],[Extra Wattalpam]]*$R$11</f>
        <v>105</v>
      </c>
      <c r="L72" s="31" t="s">
        <v>124</v>
      </c>
    </row>
    <row r="73" spans="1:18" s="5" customFormat="1" ht="16" x14ac:dyDescent="0.35">
      <c r="A73" s="31">
        <f t="shared" si="0"/>
        <v>90</v>
      </c>
      <c r="B73" s="43" t="s">
        <v>130</v>
      </c>
      <c r="C73" s="31">
        <v>1</v>
      </c>
      <c r="D73" s="31"/>
      <c r="E73" s="31"/>
      <c r="F73" s="31"/>
      <c r="G73" s="34"/>
      <c r="H73" s="31"/>
      <c r="I73" s="32">
        <v>7588040242</v>
      </c>
      <c r="J73" s="31"/>
      <c r="K73" s="33">
        <f>Table1[[#This Row],[Full M/Savan]]*$O$11+Table1[[#This Row],[Half M/Savan]]*$P$11+Table1[[#This Row],[Extra Chicken]]*$Q$11+Table1[[#This Row],[Extra Wattalpam]]*$R$11</f>
        <v>89</v>
      </c>
      <c r="L73" s="31" t="s">
        <v>124</v>
      </c>
    </row>
    <row r="74" spans="1:18" s="5" customFormat="1" ht="16" x14ac:dyDescent="0.35">
      <c r="A74" s="31">
        <f t="shared" ref="A74:A117" si="1">A73+1</f>
        <v>91</v>
      </c>
      <c r="B74" s="43" t="s">
        <v>131</v>
      </c>
      <c r="C74" s="45"/>
      <c r="D74" s="45">
        <v>2</v>
      </c>
      <c r="E74" s="45"/>
      <c r="F74" s="45"/>
      <c r="G74" s="45"/>
      <c r="H74" s="45">
        <v>1</v>
      </c>
      <c r="I74" s="47">
        <v>7577757775</v>
      </c>
      <c r="J74"/>
      <c r="K74" s="33">
        <f>Table1[[#This Row],[Full M/Savan]]*$O$11+Table1[[#This Row],[Half M/Savan]]*$P$11+Table1[[#This Row],[Extra Chicken]]*$Q$11+Table1[[#This Row],[Extra Wattalpam]]*$R$11</f>
        <v>112</v>
      </c>
      <c r="L74" s="31" t="s">
        <v>124</v>
      </c>
    </row>
    <row r="75" spans="1:18" s="5" customFormat="1" ht="16" x14ac:dyDescent="0.35">
      <c r="A75" s="31">
        <f t="shared" si="1"/>
        <v>92</v>
      </c>
      <c r="B75" s="43" t="s">
        <v>139</v>
      </c>
      <c r="C75" s="45">
        <v>1</v>
      </c>
      <c r="D75" s="45"/>
      <c r="E75" s="45"/>
      <c r="F75" s="45"/>
      <c r="G75" s="45"/>
      <c r="H75" s="45"/>
      <c r="I75" s="46">
        <v>7904319163</v>
      </c>
      <c r="J75"/>
      <c r="K75" s="33">
        <f>Table1[[#This Row],[Full M/Savan]]*$O$11+Table1[[#This Row],[Half M/Savan]]*$P$11+Table1[[#This Row],[Extra Chicken]]*$Q$11+Table1[[#This Row],[Extra Wattalpam]]*$R$11</f>
        <v>89</v>
      </c>
      <c r="L75" s="31" t="s">
        <v>124</v>
      </c>
    </row>
    <row r="76" spans="1:18" s="5" customFormat="1" ht="16" x14ac:dyDescent="0.35">
      <c r="A76" s="31">
        <f t="shared" si="1"/>
        <v>93</v>
      </c>
      <c r="B76" s="43" t="s">
        <v>144</v>
      </c>
      <c r="C76" s="45"/>
      <c r="D76" s="45">
        <v>1</v>
      </c>
      <c r="E76" s="45"/>
      <c r="F76" s="45"/>
      <c r="G76" s="45"/>
      <c r="H76" s="45"/>
      <c r="I76" s="46"/>
      <c r="J76"/>
      <c r="K76" s="33">
        <f>Table1[[#This Row],[Full M/Savan]]*$O$11+Table1[[#This Row],[Half M/Savan]]*$P$11+Table1[[#This Row],[Extra Chicken]]*$Q$11+Table1[[#This Row],[Extra Wattalpam]]*$R$11</f>
        <v>48</v>
      </c>
      <c r="L76" s="31" t="s">
        <v>124</v>
      </c>
    </row>
    <row r="77" spans="1:18" s="5" customFormat="1" ht="16" x14ac:dyDescent="0.35">
      <c r="A77" s="31">
        <f t="shared" si="1"/>
        <v>94</v>
      </c>
      <c r="B77" s="43" t="s">
        <v>144</v>
      </c>
      <c r="C77" s="45">
        <v>1</v>
      </c>
      <c r="D77" s="45"/>
      <c r="E77" s="45"/>
      <c r="F77" s="45"/>
      <c r="G77" s="45"/>
      <c r="H77" s="45">
        <v>1</v>
      </c>
      <c r="I77" s="46"/>
      <c r="J77"/>
      <c r="K77" s="33">
        <f>Table1[[#This Row],[Full M/Savan]]*$O$11+Table1[[#This Row],[Half M/Savan]]*$P$11+Table1[[#This Row],[Extra Chicken]]*$Q$11+Table1[[#This Row],[Extra Wattalpam]]*$R$11</f>
        <v>105</v>
      </c>
      <c r="L77" s="31" t="s">
        <v>124</v>
      </c>
      <c r="M77" s="5" t="s">
        <v>146</v>
      </c>
    </row>
    <row r="78" spans="1:18" s="5" customFormat="1" ht="16" x14ac:dyDescent="0.35">
      <c r="A78" s="31">
        <f t="shared" si="1"/>
        <v>95</v>
      </c>
      <c r="B78" s="43" t="s">
        <v>144</v>
      </c>
      <c r="C78" s="45"/>
      <c r="D78" s="45">
        <v>1</v>
      </c>
      <c r="E78" s="45"/>
      <c r="F78" s="45"/>
      <c r="G78" s="45"/>
      <c r="H78" s="45"/>
      <c r="I78" s="46"/>
      <c r="J78"/>
      <c r="K78" s="33">
        <f>Table1[[#This Row],[Full M/Savan]]*$O$11+Table1[[#This Row],[Half M/Savan]]*$P$11+Table1[[#This Row],[Extra Chicken]]*$Q$11+Table1[[#This Row],[Extra Wattalpam]]*$R$11</f>
        <v>48</v>
      </c>
      <c r="L78" s="31" t="s">
        <v>124</v>
      </c>
    </row>
    <row r="79" spans="1:18" s="5" customFormat="1" ht="16" x14ac:dyDescent="0.35">
      <c r="A79" s="31">
        <f t="shared" si="1"/>
        <v>96</v>
      </c>
      <c r="B79" s="43" t="s">
        <v>148</v>
      </c>
      <c r="C79" s="45">
        <v>1</v>
      </c>
      <c r="D79" s="45"/>
      <c r="E79" s="45"/>
      <c r="F79" s="45"/>
      <c r="G79" s="45"/>
      <c r="H79" s="45"/>
      <c r="I79" s="46"/>
      <c r="J79"/>
      <c r="K79" s="33">
        <f>Table1[[#This Row],[Full M/Savan]]*$O$11+Table1[[#This Row],[Half M/Savan]]*$P$11+Table1[[#This Row],[Extra Chicken]]*$Q$11+Table1[[#This Row],[Extra Wattalpam]]*$R$11</f>
        <v>89</v>
      </c>
      <c r="L79" s="31" t="s">
        <v>124</v>
      </c>
    </row>
    <row r="80" spans="1:18" s="5" customFormat="1" ht="16" x14ac:dyDescent="0.35">
      <c r="A80" s="31">
        <f t="shared" si="1"/>
        <v>97</v>
      </c>
      <c r="B80" s="43" t="s">
        <v>150</v>
      </c>
      <c r="C80" s="45">
        <v>1</v>
      </c>
      <c r="D80" s="45">
        <v>1</v>
      </c>
      <c r="E80" s="45"/>
      <c r="F80" s="45"/>
      <c r="G80" s="45"/>
      <c r="H80" s="45"/>
      <c r="I80" s="46"/>
      <c r="J80"/>
      <c r="K80" s="33">
        <v>145.5</v>
      </c>
      <c r="L80" s="31" t="s">
        <v>124</v>
      </c>
      <c r="R80" s="5" t="s">
        <v>33</v>
      </c>
    </row>
    <row r="81" spans="1:12" s="5" customFormat="1" ht="16" x14ac:dyDescent="0.35">
      <c r="A81" s="31">
        <f t="shared" si="1"/>
        <v>98</v>
      </c>
      <c r="B81" s="43" t="s">
        <v>155</v>
      </c>
      <c r="C81" s="45">
        <v>1</v>
      </c>
      <c r="D81" s="45"/>
      <c r="E81" s="45"/>
      <c r="F81" s="45"/>
      <c r="G81" s="45"/>
      <c r="H81" s="45"/>
      <c r="I81" s="46"/>
      <c r="J81" t="s">
        <v>156</v>
      </c>
      <c r="K81" s="33">
        <f>Table1[[#This Row],[Full M/Savan]]*$O$11+Table1[[#This Row],[Half M/Savan]]*$P$11+Table1[[#This Row],[Extra Chicken]]*$Q$11+Table1[[#This Row],[Extra Wattalpam]]*$R$11</f>
        <v>89</v>
      </c>
      <c r="L81" s="31" t="s">
        <v>124</v>
      </c>
    </row>
    <row r="82" spans="1:12" s="5" customFormat="1" ht="16" x14ac:dyDescent="0.35">
      <c r="A82" s="31">
        <f t="shared" si="1"/>
        <v>99</v>
      </c>
      <c r="B82" s="43"/>
      <c r="C82" s="45"/>
      <c r="D82" s="45"/>
      <c r="E82" s="45"/>
      <c r="F82" s="45"/>
      <c r="G82" s="45"/>
      <c r="H82" s="45"/>
      <c r="I82" s="46"/>
      <c r="J82"/>
      <c r="K82" s="33">
        <f>Table1[[#This Row],[Full M/Savan]]*$O$11+Table1[[#This Row],[Half M/Savan]]*$P$11+Table1[[#This Row],[Extra Chicken]]*$Q$11+Table1[[#This Row],[Extra Wattalpam]]*$R$11</f>
        <v>0</v>
      </c>
      <c r="L82" s="31" t="s">
        <v>16</v>
      </c>
    </row>
    <row r="83" spans="1:12" s="5" customFormat="1" ht="16" x14ac:dyDescent="0.35">
      <c r="A83" s="31">
        <f t="shared" si="1"/>
        <v>100</v>
      </c>
      <c r="B83" s="43"/>
      <c r="C83" s="45"/>
      <c r="D83" s="45"/>
      <c r="E83" s="45"/>
      <c r="F83" s="45"/>
      <c r="G83" s="45"/>
      <c r="H83" s="45"/>
      <c r="I83" s="46"/>
      <c r="J83"/>
      <c r="K83" s="33">
        <f>Table1[[#This Row],[Full M/Savan]]*$O$11+Table1[[#This Row],[Half M/Savan]]*$P$11+Table1[[#This Row],[Extra Chicken]]*$Q$11+Table1[[#This Row],[Extra Wattalpam]]*$R$11</f>
        <v>0</v>
      </c>
      <c r="L83" s="31" t="s">
        <v>16</v>
      </c>
    </row>
    <row r="84" spans="1:12" s="5" customFormat="1" ht="16" x14ac:dyDescent="0.35">
      <c r="A84" s="31">
        <f t="shared" si="1"/>
        <v>101</v>
      </c>
      <c r="B84" s="43"/>
      <c r="C84" s="45"/>
      <c r="D84" s="45"/>
      <c r="E84" s="45"/>
      <c r="F84" s="45"/>
      <c r="G84" s="45"/>
      <c r="H84" s="45"/>
      <c r="I84" s="46"/>
      <c r="J84"/>
      <c r="K84" s="33">
        <f>Table1[[#This Row],[Full M/Savan]]*$O$11+Table1[[#This Row],[Half M/Savan]]*$P$11+Table1[[#This Row],[Extra Chicken]]*$Q$11+Table1[[#This Row],[Extra Wattalpam]]*$R$11</f>
        <v>0</v>
      </c>
      <c r="L84" s="31" t="s">
        <v>16</v>
      </c>
    </row>
    <row r="85" spans="1:12" s="5" customFormat="1" ht="17" customHeight="1" x14ac:dyDescent="0.35">
      <c r="A85" s="31">
        <f t="shared" si="1"/>
        <v>102</v>
      </c>
      <c r="B85" s="43"/>
      <c r="C85" s="45"/>
      <c r="D85" s="45"/>
      <c r="E85" s="45"/>
      <c r="F85" s="45"/>
      <c r="G85" s="45"/>
      <c r="H85" s="45"/>
      <c r="I85" s="46"/>
      <c r="J85"/>
      <c r="K85" s="33">
        <f>Table1[[#This Row],[Full M/Savan]]*$O$11+Table1[[#This Row],[Half M/Savan]]*$P$11+Table1[[#This Row],[Extra Chicken]]*$Q$11+Table1[[#This Row],[Extra Wattalpam]]*$R$11</f>
        <v>0</v>
      </c>
      <c r="L85" s="31" t="s">
        <v>16</v>
      </c>
    </row>
    <row r="86" spans="1:12" s="5" customFormat="1" ht="16" x14ac:dyDescent="0.35">
      <c r="A86" s="31">
        <f t="shared" si="1"/>
        <v>103</v>
      </c>
      <c r="B86" s="43"/>
      <c r="C86" s="45"/>
      <c r="D86" s="45"/>
      <c r="E86" s="45"/>
      <c r="F86" s="45"/>
      <c r="G86" s="45"/>
      <c r="H86" s="45"/>
      <c r="I86" s="46"/>
      <c r="J86"/>
      <c r="K86" s="33">
        <f>Table1[[#This Row],[Full M/Savan]]*$O$11+Table1[[#This Row],[Half M/Savan]]*$P$11+Table1[[#This Row],[Extra Chicken]]*$Q$11+Table1[[#This Row],[Extra Wattalpam]]*$R$11</f>
        <v>0</v>
      </c>
      <c r="L86" s="31" t="s">
        <v>16</v>
      </c>
    </row>
    <row r="87" spans="1:12" s="5" customFormat="1" ht="16" x14ac:dyDescent="0.35">
      <c r="A87" s="31">
        <f t="shared" si="1"/>
        <v>104</v>
      </c>
      <c r="B87" s="43"/>
      <c r="C87" s="45"/>
      <c r="D87" s="45"/>
      <c r="E87" s="45"/>
      <c r="F87" s="45"/>
      <c r="G87" s="45"/>
      <c r="H87" s="45"/>
      <c r="I87" s="46"/>
      <c r="J87"/>
      <c r="K87" s="33">
        <f>Table1[[#This Row],[Full M/Savan]]*$O$11+Table1[[#This Row],[Half M/Savan]]*$P$11+Table1[[#This Row],[Extra Chicken]]*$Q$11+Table1[[#This Row],[Extra Wattalpam]]*$R$11</f>
        <v>0</v>
      </c>
      <c r="L87" s="31" t="s">
        <v>16</v>
      </c>
    </row>
    <row r="88" spans="1:12" s="5" customFormat="1" ht="16" x14ac:dyDescent="0.35">
      <c r="A88" s="31">
        <f t="shared" si="1"/>
        <v>105</v>
      </c>
      <c r="B88" s="43"/>
      <c r="C88" s="45"/>
      <c r="D88" s="45"/>
      <c r="E88" s="45"/>
      <c r="F88" s="45"/>
      <c r="G88" s="45"/>
      <c r="H88" s="45"/>
      <c r="I88" s="46"/>
      <c r="J88"/>
      <c r="K88" s="33">
        <f>Table1[[#This Row],[Full M/Savan]]*$O$11+Table1[[#This Row],[Half M/Savan]]*$P$11+Table1[[#This Row],[Extra Chicken]]*$Q$11+Table1[[#This Row],[Extra Wattalpam]]*$R$11</f>
        <v>0</v>
      </c>
      <c r="L88" s="31" t="s">
        <v>16</v>
      </c>
    </row>
    <row r="89" spans="1:12" s="5" customFormat="1" ht="16" x14ac:dyDescent="0.35">
      <c r="A89" s="31">
        <f t="shared" si="1"/>
        <v>106</v>
      </c>
      <c r="B89" s="43"/>
      <c r="C89" s="45"/>
      <c r="D89" s="45"/>
      <c r="E89" s="45"/>
      <c r="F89" s="45"/>
      <c r="G89" s="45"/>
      <c r="H89" s="45"/>
      <c r="I89" s="46"/>
      <c r="J89"/>
      <c r="K89" s="33">
        <f>Table1[[#This Row],[Full M/Savan]]*$O$11+Table1[[#This Row],[Half M/Savan]]*$P$11+Table1[[#This Row],[Extra Chicken]]*$Q$11+Table1[[#This Row],[Extra Wattalpam]]*$R$11</f>
        <v>0</v>
      </c>
      <c r="L89" s="31" t="s">
        <v>16</v>
      </c>
    </row>
    <row r="90" spans="1:12" ht="16" x14ac:dyDescent="0.35">
      <c r="A90" s="31">
        <f t="shared" si="1"/>
        <v>107</v>
      </c>
      <c r="B90" s="43"/>
      <c r="C90" s="31"/>
      <c r="D90" s="31"/>
      <c r="E90" s="31"/>
      <c r="F90" s="31"/>
      <c r="G90" s="34"/>
      <c r="H90" s="31"/>
      <c r="I90" s="47"/>
      <c r="J90" s="31"/>
      <c r="K90" s="33">
        <f>Table1[[#This Row],[Full M/Savan]]*$O$11+Table1[[#This Row],[Half M/Savan]]*$P$11+Table1[[#This Row],[Extra Chicken]]*$Q$11+Table1[[#This Row],[Extra Wattalpam]]*$R$11</f>
        <v>0</v>
      </c>
      <c r="L90" s="31" t="s">
        <v>16</v>
      </c>
    </row>
    <row r="91" spans="1:12" ht="16" x14ac:dyDescent="0.35">
      <c r="A91" s="31">
        <f t="shared" si="1"/>
        <v>108</v>
      </c>
      <c r="B91" s="43"/>
      <c r="C91" s="31"/>
      <c r="D91" s="31"/>
      <c r="E91" s="31"/>
      <c r="F91" s="31"/>
      <c r="G91" s="34"/>
      <c r="H91" s="31"/>
      <c r="I91" s="47"/>
      <c r="J91" s="31"/>
      <c r="K91" s="33">
        <f>Table1[[#This Row],[Full M/Savan]]*$O$11+Table1[[#This Row],[Half M/Savan]]*$P$11+Table1[[#This Row],[Extra Chicken]]*$Q$11+Table1[[#This Row],[Extra Wattalpam]]*$R$11</f>
        <v>0</v>
      </c>
      <c r="L91" s="31" t="s">
        <v>16</v>
      </c>
    </row>
    <row r="92" spans="1:12" ht="16" x14ac:dyDescent="0.35">
      <c r="A92" s="31">
        <f t="shared" si="1"/>
        <v>109</v>
      </c>
      <c r="B92" s="43"/>
      <c r="C92" s="31"/>
      <c r="D92" s="31"/>
      <c r="E92" s="31"/>
      <c r="F92" s="31"/>
      <c r="G92" s="34"/>
      <c r="H92" s="31"/>
      <c r="I92" s="47"/>
      <c r="J92" s="31"/>
      <c r="K92" s="33">
        <f>Table1[[#This Row],[Full M/Savan]]*$O$11+Table1[[#This Row],[Half M/Savan]]*$P$11+Table1[[#This Row],[Extra Chicken]]*$Q$11+Table1[[#This Row],[Extra Wattalpam]]*$R$11</f>
        <v>0</v>
      </c>
      <c r="L92" s="31" t="s">
        <v>16</v>
      </c>
    </row>
    <row r="93" spans="1:12" ht="16" x14ac:dyDescent="0.35">
      <c r="A93" s="31">
        <f t="shared" si="1"/>
        <v>110</v>
      </c>
      <c r="B93" s="43"/>
      <c r="C93" s="31"/>
      <c r="D93" s="31"/>
      <c r="E93" s="31"/>
      <c r="F93" s="31"/>
      <c r="G93" s="34"/>
      <c r="H93" s="31"/>
      <c r="I93" s="47"/>
      <c r="J93" s="31"/>
      <c r="K93" s="33">
        <f>Table1[[#This Row],[Full M/Savan]]*$O$11+Table1[[#This Row],[Half M/Savan]]*$P$11+Table1[[#This Row],[Extra Chicken]]*$Q$11+Table1[[#This Row],[Extra Wattalpam]]*$R$11</f>
        <v>0</v>
      </c>
      <c r="L93" s="31" t="s">
        <v>16</v>
      </c>
    </row>
    <row r="94" spans="1:12" ht="16" x14ac:dyDescent="0.35">
      <c r="A94" s="31">
        <f t="shared" si="1"/>
        <v>111</v>
      </c>
      <c r="B94" s="43"/>
      <c r="C94" s="31"/>
      <c r="D94" s="31"/>
      <c r="E94" s="31"/>
      <c r="F94" s="31"/>
      <c r="G94" s="34"/>
      <c r="H94" s="31"/>
      <c r="I94" s="47"/>
      <c r="J94" s="31"/>
      <c r="K94" s="33">
        <f>Table1[[#This Row],[Full M/Savan]]*$O$11+Table1[[#This Row],[Half M/Savan]]*$P$11+Table1[[#This Row],[Extra Chicken]]*$Q$11+Table1[[#This Row],[Extra Wattalpam]]*$R$11</f>
        <v>0</v>
      </c>
      <c r="L94" s="31" t="s">
        <v>16</v>
      </c>
    </row>
    <row r="95" spans="1:12" ht="16" x14ac:dyDescent="0.35">
      <c r="A95" s="31">
        <f t="shared" si="1"/>
        <v>112</v>
      </c>
      <c r="B95" s="43"/>
      <c r="C95" s="31"/>
      <c r="D95" s="31"/>
      <c r="E95" s="31"/>
      <c r="F95" s="31"/>
      <c r="G95" s="34"/>
      <c r="H95" s="31"/>
      <c r="I95" s="47"/>
      <c r="J95" s="31"/>
      <c r="K95" s="33">
        <f>Table1[[#This Row],[Full M/Savan]]*$O$11+Table1[[#This Row],[Half M/Savan]]*$P$11+Table1[[#This Row],[Extra Chicken]]*$Q$11+Table1[[#This Row],[Extra Wattalpam]]*$R$11</f>
        <v>0</v>
      </c>
      <c r="L95" s="31" t="s">
        <v>16</v>
      </c>
    </row>
    <row r="96" spans="1:12" ht="16" x14ac:dyDescent="0.35">
      <c r="A96" s="31">
        <f t="shared" si="1"/>
        <v>113</v>
      </c>
      <c r="B96" s="43"/>
      <c r="C96" s="31"/>
      <c r="D96" s="31"/>
      <c r="E96" s="31"/>
      <c r="F96" s="31"/>
      <c r="G96" s="34"/>
      <c r="H96" s="31"/>
      <c r="I96" s="47"/>
      <c r="J96" s="31"/>
      <c r="K96" s="33">
        <f>Table1[[#This Row],[Full M/Savan]]*$O$11+Table1[[#This Row],[Half M/Savan]]*$P$11+Table1[[#This Row],[Extra Chicken]]*$Q$11+Table1[[#This Row],[Extra Wattalpam]]*$R$11</f>
        <v>0</v>
      </c>
      <c r="L96" s="31" t="s">
        <v>16</v>
      </c>
    </row>
    <row r="97" spans="1:12" ht="16" x14ac:dyDescent="0.35">
      <c r="A97" s="31">
        <f t="shared" si="1"/>
        <v>114</v>
      </c>
      <c r="B97" s="43"/>
      <c r="C97" s="31"/>
      <c r="D97" s="31"/>
      <c r="E97" s="31"/>
      <c r="F97" s="31"/>
      <c r="G97" s="34"/>
      <c r="H97" s="31"/>
      <c r="I97" s="47"/>
      <c r="J97" s="31"/>
      <c r="K97" s="33">
        <f>Table1[[#This Row],[Full M/Savan]]*$O$11+Table1[[#This Row],[Half M/Savan]]*$P$11+Table1[[#This Row],[Extra Chicken]]*$Q$11+Table1[[#This Row],[Extra Wattalpam]]*$R$11</f>
        <v>0</v>
      </c>
      <c r="L97" s="31" t="s">
        <v>16</v>
      </c>
    </row>
    <row r="98" spans="1:12" ht="16" x14ac:dyDescent="0.35">
      <c r="A98" s="31">
        <f t="shared" si="1"/>
        <v>115</v>
      </c>
      <c r="B98" s="43"/>
      <c r="C98" s="31"/>
      <c r="D98" s="31"/>
      <c r="E98" s="31"/>
      <c r="F98" s="31"/>
      <c r="G98" s="34"/>
      <c r="H98" s="31"/>
      <c r="I98" s="47"/>
      <c r="J98" s="31"/>
      <c r="K98" s="33">
        <f>Table1[[#This Row],[Full M/Savan]]*$O$11+Table1[[#This Row],[Half M/Savan]]*$P$11+Table1[[#This Row],[Extra Chicken]]*$Q$11+Table1[[#This Row],[Extra Wattalpam]]*$R$11</f>
        <v>0</v>
      </c>
      <c r="L98" s="31" t="s">
        <v>16</v>
      </c>
    </row>
    <row r="99" spans="1:12" ht="18.5" customHeight="1" x14ac:dyDescent="0.35">
      <c r="A99" s="31">
        <f t="shared" si="1"/>
        <v>116</v>
      </c>
      <c r="B99" s="43"/>
      <c r="C99" s="31"/>
      <c r="D99" s="31"/>
      <c r="E99" s="31"/>
      <c r="F99" s="31"/>
      <c r="G99" s="34"/>
      <c r="H99" s="31"/>
      <c r="I99" s="47"/>
      <c r="J99" s="31"/>
      <c r="K99" s="33">
        <f>Table1[[#This Row],[Full M/Savan]]*$O$11+Table1[[#This Row],[Half M/Savan]]*$P$11+Table1[[#This Row],[Extra Chicken]]*$Q$11+Table1[[#This Row],[Extra Wattalpam]]*$R$11</f>
        <v>0</v>
      </c>
      <c r="L99" s="31" t="s">
        <v>16</v>
      </c>
    </row>
    <row r="100" spans="1:12" ht="16" x14ac:dyDescent="0.35">
      <c r="A100" s="31">
        <f t="shared" si="1"/>
        <v>117</v>
      </c>
      <c r="B100" s="43"/>
      <c r="C100" s="31"/>
      <c r="D100" s="31"/>
      <c r="E100" s="31"/>
      <c r="F100" s="31"/>
      <c r="G100" s="34"/>
      <c r="H100" s="31"/>
      <c r="I100" s="47"/>
      <c r="J100" s="31"/>
      <c r="K100" s="33">
        <f>Table1[[#This Row],[Full M/Savan]]*$O$11+Table1[[#This Row],[Half M/Savan]]*$P$11+Table1[[#This Row],[Extra Chicken]]*$Q$11+Table1[[#This Row],[Extra Wattalpam]]*$R$11</f>
        <v>0</v>
      </c>
      <c r="L100" s="31" t="s">
        <v>16</v>
      </c>
    </row>
    <row r="101" spans="1:12" ht="16" x14ac:dyDescent="0.35">
      <c r="A101" s="31">
        <f t="shared" si="1"/>
        <v>118</v>
      </c>
      <c r="B101" s="43"/>
      <c r="C101" s="31"/>
      <c r="D101" s="31"/>
      <c r="E101" s="31"/>
      <c r="F101" s="31"/>
      <c r="G101" s="34"/>
      <c r="H101" s="31"/>
      <c r="I101" s="47"/>
      <c r="J101" s="31"/>
      <c r="K101" s="33">
        <f>Table1[[#This Row],[Full M/Savan]]*$O$11+Table1[[#This Row],[Half M/Savan]]*$P$11+Table1[[#This Row],[Extra Chicken]]*$Q$11+Table1[[#This Row],[Extra Wattalpam]]*$R$11</f>
        <v>0</v>
      </c>
      <c r="L101" s="31" t="s">
        <v>16</v>
      </c>
    </row>
    <row r="102" spans="1:12" ht="16" x14ac:dyDescent="0.35">
      <c r="A102" s="31">
        <f t="shared" si="1"/>
        <v>119</v>
      </c>
      <c r="B102" s="43"/>
      <c r="C102" s="31"/>
      <c r="D102" s="31"/>
      <c r="E102" s="31"/>
      <c r="F102" s="31"/>
      <c r="G102" s="34"/>
      <c r="H102" s="31"/>
      <c r="I102" s="47"/>
      <c r="J102" s="16"/>
      <c r="K102" s="33">
        <f>Table1[[#This Row],[Full M/Savan]]*$O$11+Table1[[#This Row],[Half M/Savan]]*$P$11+Table1[[#This Row],[Extra Chicken]]*$Q$11+Table1[[#This Row],[Extra Wattalpam]]*$R$11</f>
        <v>0</v>
      </c>
      <c r="L102" s="31" t="s">
        <v>16</v>
      </c>
    </row>
    <row r="103" spans="1:12" ht="16" x14ac:dyDescent="0.35">
      <c r="A103" s="31">
        <f t="shared" si="1"/>
        <v>120</v>
      </c>
      <c r="B103" s="43"/>
      <c r="C103" s="31"/>
      <c r="D103" s="31"/>
      <c r="E103" s="31"/>
      <c r="F103" s="31"/>
      <c r="G103" s="34"/>
      <c r="H103" s="34"/>
      <c r="I103" s="47"/>
      <c r="J103" s="31"/>
      <c r="K103" s="33">
        <f>Table1[[#This Row],[Full M/Savan]]*$O$11+Table1[[#This Row],[Half M/Savan]]*$P$11+Table1[[#This Row],[Extra Chicken]]*$Q$11+Table1[[#This Row],[Extra Wattalpam]]*$R$11</f>
        <v>0</v>
      </c>
      <c r="L103" s="31" t="s">
        <v>16</v>
      </c>
    </row>
    <row r="104" spans="1:12" ht="16" x14ac:dyDescent="0.35">
      <c r="A104" s="31">
        <f t="shared" si="1"/>
        <v>121</v>
      </c>
      <c r="B104" s="43"/>
      <c r="C104" s="31"/>
      <c r="D104" s="31"/>
      <c r="E104" s="31"/>
      <c r="F104" s="31"/>
      <c r="G104" s="34"/>
      <c r="H104" s="31"/>
      <c r="I104" s="47"/>
      <c r="J104" s="31"/>
      <c r="K104" s="33">
        <f>Table1[[#This Row],[Full M/Savan]]*$O$11+Table1[[#This Row],[Half M/Savan]]*$P$11+Table1[[#This Row],[Extra Chicken]]*$Q$11+Table1[[#This Row],[Extra Wattalpam]]*$R$11</f>
        <v>0</v>
      </c>
      <c r="L104" s="31" t="s">
        <v>16</v>
      </c>
    </row>
    <row r="105" spans="1:12" ht="16" x14ac:dyDescent="0.35">
      <c r="A105" s="31">
        <f t="shared" si="1"/>
        <v>122</v>
      </c>
      <c r="B105" s="43"/>
      <c r="C105" s="31"/>
      <c r="D105" s="31"/>
      <c r="E105" s="31"/>
      <c r="F105" s="31"/>
      <c r="G105" s="34"/>
      <c r="H105" s="31"/>
      <c r="I105" s="47"/>
      <c r="J105" s="31"/>
      <c r="K105" s="33">
        <f>Table1[[#This Row],[Full M/Savan]]*$O$11+Table1[[#This Row],[Half M/Savan]]*$P$11+Table1[[#This Row],[Extra Chicken]]*$Q$11+Table1[[#This Row],[Extra Wattalpam]]*$R$11</f>
        <v>0</v>
      </c>
      <c r="L105" s="31" t="s">
        <v>16</v>
      </c>
    </row>
    <row r="106" spans="1:12" ht="16" x14ac:dyDescent="0.35">
      <c r="A106" s="31">
        <f t="shared" si="1"/>
        <v>123</v>
      </c>
      <c r="B106" s="43"/>
      <c r="C106" s="31"/>
      <c r="D106" s="31"/>
      <c r="E106" s="31"/>
      <c r="F106" s="31"/>
      <c r="G106" s="34"/>
      <c r="H106" s="31"/>
      <c r="I106" s="47"/>
      <c r="J106" s="31"/>
      <c r="K106" s="33">
        <f>Table1[[#This Row],[Full M/Savan]]*$O$11+Table1[[#This Row],[Half M/Savan]]*$P$11+Table1[[#This Row],[Extra Chicken]]*$Q$11+Table1[[#This Row],[Extra Wattalpam]]*$R$11</f>
        <v>0</v>
      </c>
      <c r="L106" s="31" t="s">
        <v>16</v>
      </c>
    </row>
    <row r="107" spans="1:12" ht="16" x14ac:dyDescent="0.35">
      <c r="A107" s="31">
        <f t="shared" si="1"/>
        <v>124</v>
      </c>
      <c r="B107" s="43"/>
      <c r="C107" s="31"/>
      <c r="D107" s="31"/>
      <c r="E107" s="31"/>
      <c r="F107" s="31"/>
      <c r="G107" s="34"/>
      <c r="H107" s="31"/>
      <c r="I107" s="47"/>
      <c r="J107" s="31"/>
      <c r="K107" s="33">
        <f>Table1[[#This Row],[Full M/Savan]]*$O$11+Table1[[#This Row],[Half M/Savan]]*$P$11+Table1[[#This Row],[Extra Chicken]]*$Q$11+Table1[[#This Row],[Extra Wattalpam]]*$R$11</f>
        <v>0</v>
      </c>
      <c r="L107" s="31" t="s">
        <v>16</v>
      </c>
    </row>
    <row r="108" spans="1:12" ht="16" x14ac:dyDescent="0.35">
      <c r="A108" s="31">
        <f t="shared" si="1"/>
        <v>125</v>
      </c>
      <c r="B108" s="43"/>
      <c r="C108" s="31"/>
      <c r="D108" s="31"/>
      <c r="E108" s="31"/>
      <c r="F108" s="31"/>
      <c r="G108" s="34"/>
      <c r="H108" s="31"/>
      <c r="I108" s="47"/>
      <c r="J108" s="31"/>
      <c r="K108" s="33">
        <f>$O$11*Table1[[#This Row],[Full M/Savan]]+$P$11*Table1[[#This Row],[Half M/Savan]]+$Q$11*Table1[[#This Row],[Extra Chicken]]</f>
        <v>0</v>
      </c>
      <c r="L108" s="31" t="s">
        <v>16</v>
      </c>
    </row>
    <row r="109" spans="1:12" ht="16" x14ac:dyDescent="0.35">
      <c r="A109" s="31">
        <f t="shared" si="1"/>
        <v>126</v>
      </c>
      <c r="B109" s="43"/>
      <c r="C109" s="31"/>
      <c r="D109" s="31"/>
      <c r="E109" s="31"/>
      <c r="F109" s="31"/>
      <c r="G109" s="34"/>
      <c r="H109" s="31"/>
      <c r="I109" s="47"/>
      <c r="J109" s="31"/>
      <c r="K109" s="33">
        <f>$O$11*Table1[[#This Row],[Full M/Savan]]+$P$11*Table1[[#This Row],[Half M/Savan]]+$Q$11*Table1[[#This Row],[Extra Chicken]]</f>
        <v>0</v>
      </c>
      <c r="L109" s="31" t="s">
        <v>16</v>
      </c>
    </row>
    <row r="110" spans="1:12" ht="16" x14ac:dyDescent="0.35">
      <c r="A110" s="31">
        <f t="shared" si="1"/>
        <v>127</v>
      </c>
      <c r="B110" s="43"/>
      <c r="C110" s="31"/>
      <c r="D110" s="31"/>
      <c r="E110" s="31"/>
      <c r="F110" s="31"/>
      <c r="G110" s="34"/>
      <c r="H110" s="31"/>
      <c r="I110" s="47"/>
      <c r="J110" s="31"/>
      <c r="K110" s="33">
        <f>$O$11*Table1[[#This Row],[Full M/Savan]]+$P$11*Table1[[#This Row],[Half M/Savan]]+$Q$11*Table1[[#This Row],[Extra Chicken]]</f>
        <v>0</v>
      </c>
      <c r="L110" s="31" t="s">
        <v>16</v>
      </c>
    </row>
    <row r="111" spans="1:12" ht="16" x14ac:dyDescent="0.35">
      <c r="A111" s="31">
        <f t="shared" si="1"/>
        <v>128</v>
      </c>
      <c r="B111" s="43"/>
      <c r="C111" s="31"/>
      <c r="D111" s="31"/>
      <c r="E111" s="31"/>
      <c r="F111" s="31"/>
      <c r="G111" s="34"/>
      <c r="H111" s="31"/>
      <c r="I111" s="47"/>
      <c r="J111" s="31"/>
      <c r="K111" s="33">
        <f>$O$11*Table1[[#This Row],[Full M/Savan]]+$P$11*Table1[[#This Row],[Half M/Savan]]+$Q$11*Table1[[#This Row],[Extra Chicken]]</f>
        <v>0</v>
      </c>
      <c r="L111" s="31" t="s">
        <v>16</v>
      </c>
    </row>
    <row r="112" spans="1:12" ht="16" x14ac:dyDescent="0.35">
      <c r="A112" s="31">
        <f t="shared" si="1"/>
        <v>129</v>
      </c>
      <c r="B112" s="43"/>
      <c r="C112" s="31"/>
      <c r="D112" s="31"/>
      <c r="E112" s="31"/>
      <c r="F112" s="31"/>
      <c r="G112" s="34"/>
      <c r="H112" s="31"/>
      <c r="I112" s="47"/>
      <c r="J112" s="31"/>
      <c r="K112" s="33">
        <f>$O$11*Table1[[#This Row],[Full M/Savan]]+$P$11*Table1[[#This Row],[Half M/Savan]]+$Q$11*Table1[[#This Row],[Extra Chicken]]</f>
        <v>0</v>
      </c>
      <c r="L112" s="31" t="s">
        <v>16</v>
      </c>
    </row>
    <row r="113" spans="1:12" ht="16" x14ac:dyDescent="0.35">
      <c r="A113" s="31">
        <f t="shared" si="1"/>
        <v>130</v>
      </c>
      <c r="B113" s="43"/>
      <c r="C113" s="31"/>
      <c r="D113" s="31"/>
      <c r="E113" s="31"/>
      <c r="F113" s="31"/>
      <c r="G113" s="34"/>
      <c r="H113" s="31"/>
      <c r="I113" s="47"/>
      <c r="J113" s="31"/>
      <c r="K113" s="33">
        <f>$O$11*Table1[[#This Row],[Full M/Savan]]+$P$11*Table1[[#This Row],[Half M/Savan]]+$Q$11*Table1[[#This Row],[Extra Chicken]]</f>
        <v>0</v>
      </c>
      <c r="L113" s="31" t="s">
        <v>16</v>
      </c>
    </row>
    <row r="114" spans="1:12" ht="16" x14ac:dyDescent="0.35">
      <c r="A114" s="31">
        <f t="shared" si="1"/>
        <v>131</v>
      </c>
      <c r="B114" s="43"/>
      <c r="C114" s="31"/>
      <c r="D114" s="31"/>
      <c r="E114" s="31"/>
      <c r="F114" s="31"/>
      <c r="G114" s="34"/>
      <c r="H114" s="31"/>
      <c r="I114" s="47"/>
      <c r="J114" s="31"/>
      <c r="K114" s="33">
        <f>$O$11*Table1[[#This Row],[Full M/Savan]]+$P$11*Table1[[#This Row],[Half M/Savan]]+$Q$11*Table1[[#This Row],[Extra Chicken]]</f>
        <v>0</v>
      </c>
      <c r="L114" s="31" t="s">
        <v>16</v>
      </c>
    </row>
    <row r="115" spans="1:12" ht="16" x14ac:dyDescent="0.35">
      <c r="A115" s="31">
        <f t="shared" si="1"/>
        <v>132</v>
      </c>
      <c r="B115" s="31"/>
      <c r="C115" s="31"/>
      <c r="D115" s="31"/>
      <c r="E115" s="31"/>
      <c r="F115" s="31"/>
      <c r="G115" s="34"/>
      <c r="H115" s="31"/>
      <c r="I115" s="47"/>
      <c r="J115" s="31"/>
      <c r="K115" s="33">
        <f>$O$11*Table1[[#This Row],[Full M/Savan]]+$P$11*Table1[[#This Row],[Half M/Savan]]+$Q$11*Table1[[#This Row],[Extra Chicken]]</f>
        <v>0</v>
      </c>
      <c r="L115" s="31" t="s">
        <v>16</v>
      </c>
    </row>
    <row r="116" spans="1:12" ht="16" x14ac:dyDescent="0.35">
      <c r="A116" s="31">
        <f t="shared" si="1"/>
        <v>133</v>
      </c>
      <c r="B116" s="43"/>
      <c r="C116" s="31"/>
      <c r="D116" s="31"/>
      <c r="E116" s="31"/>
      <c r="F116" s="31"/>
      <c r="G116" s="34"/>
      <c r="H116" s="31"/>
      <c r="I116" s="47"/>
      <c r="J116" s="31"/>
      <c r="K116" s="33">
        <f>$O$11*Table1[[#This Row],[Full M/Savan]]+$P$11*Table1[[#This Row],[Half M/Savan]]+$Q$11*Table1[[#This Row],[Extra Chicken]]</f>
        <v>0</v>
      </c>
      <c r="L116" s="31" t="s">
        <v>16</v>
      </c>
    </row>
    <row r="117" spans="1:12" ht="16" x14ac:dyDescent="0.35">
      <c r="A117" s="31">
        <f t="shared" si="1"/>
        <v>134</v>
      </c>
      <c r="B117" s="43"/>
      <c r="C117" s="31"/>
      <c r="D117" s="31"/>
      <c r="E117" s="31"/>
      <c r="F117" s="31"/>
      <c r="G117" s="34"/>
      <c r="H117" s="31"/>
      <c r="I117" s="47"/>
      <c r="J117" s="31"/>
      <c r="K117" s="33">
        <f>$O$11*Table1[[#This Row],[Full M/Savan]]+$P$11*Table1[[#This Row],[Half M/Savan]]+$Q$11*Table1[[#This Row],[Extra Chicken]]</f>
        <v>0</v>
      </c>
      <c r="L117" s="31" t="s">
        <v>16</v>
      </c>
    </row>
    <row r="118" spans="1:12" ht="16" x14ac:dyDescent="0.35">
      <c r="A118" s="31"/>
      <c r="B118" s="43"/>
      <c r="C118" s="31"/>
      <c r="D118" s="31"/>
      <c r="E118" s="31"/>
      <c r="F118" s="31"/>
      <c r="G118" s="34"/>
      <c r="H118" s="31"/>
      <c r="I118" s="47"/>
      <c r="J118" s="31"/>
      <c r="K118" s="33">
        <f>$O$11*Table1[[#This Row],[Full M/Savan]]+$P$11*Table1[[#This Row],[Half M/Savan]]+$Q$11*Table1[[#This Row],[Extra Chicken]]</f>
        <v>0</v>
      </c>
      <c r="L118" s="31" t="s">
        <v>16</v>
      </c>
    </row>
    <row r="119" spans="1:12" ht="21" customHeight="1" x14ac:dyDescent="0.35">
      <c r="A119" s="16" t="s">
        <v>10</v>
      </c>
      <c r="B119" s="43"/>
      <c r="C119" s="16">
        <f t="shared" ref="C119:H119" si="2">SUM(C4:C118)</f>
        <v>60</v>
      </c>
      <c r="D119" s="16">
        <f t="shared" si="2"/>
        <v>41</v>
      </c>
      <c r="E119" s="16">
        <f t="shared" si="2"/>
        <v>2</v>
      </c>
      <c r="F119" s="16">
        <f t="shared" si="2"/>
        <v>0</v>
      </c>
      <c r="G119" s="16">
        <f t="shared" si="2"/>
        <v>36</v>
      </c>
      <c r="H119" s="16">
        <f t="shared" si="2"/>
        <v>7</v>
      </c>
      <c r="I119" s="17"/>
      <c r="J119" s="16"/>
      <c r="K119" s="18">
        <f>SUM(K5:K118)</f>
        <v>8250.7000000000007</v>
      </c>
      <c r="L119" s="16"/>
    </row>
    <row r="120" spans="1:12" ht="21" customHeight="1" x14ac:dyDescent="0.35">
      <c r="A120" s="16" t="s">
        <v>41</v>
      </c>
      <c r="B120" s="43"/>
      <c r="C120" s="16" cm="1">
        <f t="array" ref="C120" xml:space="preserve"> C119 - SUMPRODUCT(($L$8:$L$118="PAID")*C8:C118)</f>
        <v>1</v>
      </c>
      <c r="D120" s="16" cm="1">
        <f t="array" ref="D120" xml:space="preserve"> D119 - SUMPRODUCT(($L$8:$L$118="PAID")*D8:D118)</f>
        <v>0</v>
      </c>
      <c r="E120" s="16" cm="1">
        <f t="array" ref="E120" xml:space="preserve"> E119 - SUMPRODUCT(($L$6:$L$118="PAID")*E6:E118)</f>
        <v>1</v>
      </c>
      <c r="F120" s="16" cm="1">
        <f t="array" ref="F120" xml:space="preserve"> F119 - SUMPRODUCT(($L$8:$L$118="PAID")*F8:F118)</f>
        <v>0</v>
      </c>
      <c r="G120" s="16" cm="1">
        <f t="array" ref="G120" xml:space="preserve"> G119 - SUMPRODUCT(($L$8:$L$118="PAID")*G8:G118)</f>
        <v>0</v>
      </c>
      <c r="H120" s="16" cm="1">
        <f t="array" ref="H120" xml:space="preserve"> H119 - SUMPRODUCT(($L$8:$L$118="PAID")*H8:H118)</f>
        <v>0</v>
      </c>
      <c r="I120" s="17"/>
      <c r="J120" s="16"/>
      <c r="K120" s="18"/>
      <c r="L120" s="16"/>
    </row>
    <row r="121" spans="1:12" ht="21" customHeight="1" x14ac:dyDescent="0.3">
      <c r="C121" s="14"/>
    </row>
    <row r="124" spans="1:12" ht="21" customHeight="1" x14ac:dyDescent="0.35">
      <c r="I124" s="37"/>
      <c r="J124" s="38"/>
      <c r="K124" s="39"/>
      <c r="L124" s="38"/>
    </row>
    <row r="126" spans="1:12" ht="37" x14ac:dyDescent="0.35">
      <c r="D126" s="53" t="s">
        <v>43</v>
      </c>
      <c r="E126" s="53"/>
      <c r="F126" s="53"/>
      <c r="G126" s="53"/>
      <c r="H126" s="53"/>
      <c r="I126" s="53"/>
    </row>
    <row r="128" spans="1:12" ht="21" customHeight="1" x14ac:dyDescent="0.35">
      <c r="D128" s="51" t="s">
        <v>40</v>
      </c>
      <c r="E128" s="51"/>
      <c r="F128" s="52" t="s">
        <v>28</v>
      </c>
      <c r="G128" s="52"/>
    </row>
    <row r="129" spans="2:9" ht="21" customHeight="1" x14ac:dyDescent="0.35">
      <c r="B129" s="1"/>
      <c r="C129" s="2"/>
      <c r="D129" s="40" t="s">
        <v>35</v>
      </c>
      <c r="E129" s="41" t="s">
        <v>36</v>
      </c>
      <c r="F129" s="41" t="s">
        <v>42</v>
      </c>
      <c r="G129" s="41" t="s">
        <v>37</v>
      </c>
      <c r="H129" s="41" t="s">
        <v>6</v>
      </c>
      <c r="I129" s="41" t="s">
        <v>24</v>
      </c>
    </row>
    <row r="130" spans="2:9" ht="21" customHeight="1" x14ac:dyDescent="0.35">
      <c r="C130" s="36" t="s">
        <v>41</v>
      </c>
      <c r="D130" s="36" cm="1">
        <f t="array" ref="D130" xml:space="preserve"> C119 - SUMPRODUCT(($L$8:$L$118="PAID")*C8:C118)</f>
        <v>1</v>
      </c>
      <c r="E130" s="36" cm="1">
        <f t="array" ref="E130" xml:space="preserve"> D119 - SUMPRODUCT(($L$8:$L$118="PAID")*D8:D118)</f>
        <v>0</v>
      </c>
      <c r="F130" s="36" cm="1">
        <f t="array" ref="F130" xml:space="preserve"> E119 - SUMPRODUCT(($L$5:$L$118="PAID")*E5:E118)</f>
        <v>0</v>
      </c>
      <c r="G130" s="36" cm="1">
        <f t="array" ref="G130" xml:space="preserve"> F119 - SUMPRODUCT(($L$8:$L$118="PAID")*F8:F118)</f>
        <v>0</v>
      </c>
      <c r="H130" s="36" cm="1">
        <f t="array" ref="H130" xml:space="preserve"> G119 - SUMPRODUCT(($L$8:$L$118="PAID")*G8:G118)</f>
        <v>0</v>
      </c>
      <c r="I130" s="36" cm="1">
        <f t="array" ref="I130" xml:space="preserve"> H119 - SUMPRODUCT(($L$8:$L$118="PAID")*H8:H118)</f>
        <v>0</v>
      </c>
    </row>
    <row r="132" spans="2:9" ht="21" customHeight="1" x14ac:dyDescent="0.35">
      <c r="D132" s="1" t="s">
        <v>133</v>
      </c>
    </row>
  </sheetData>
  <mergeCells count="6">
    <mergeCell ref="D1:I1"/>
    <mergeCell ref="C3:D3"/>
    <mergeCell ref="E3:F3"/>
    <mergeCell ref="D126:I126"/>
    <mergeCell ref="D128:E128"/>
    <mergeCell ref="F128:G128"/>
  </mergeCells>
  <conditionalFormatting sqref="A4:L8 A9:J9 K9:L118 B10:J13 A10:A118 G14:J14 B14:F15 G15:I15 J15:J16 B17:J24 H25:J35 B25:G50 I36 H36:H37 J36:J37 H38:J38 I39 H39:H50 J39:J60 I42:I44 I46:I60 B51:H60 B62:E62 G62:G87 B63:F76 H63:J87 B77:D78 F77:F78 B79:F87 E88:H88 B90:J113 C114:J118 B115 A119:L119 A121:B121 D121:L121 A122:L122 I123:L124 A125:L125 A126:D126 J126:L126 A127:L127 A128:C128 H128:L128 A129:A130 J129:L130 A131:L1048576">
    <cfRule type="expression" dxfId="6" priority="1">
      <formula>$L4="Paid"</formula>
    </cfRule>
  </conditionalFormatting>
  <conditionalFormatting sqref="B114:B115">
    <cfRule type="expression" dxfId="5" priority="7">
      <formula>$L118="Paid"</formula>
    </cfRule>
  </conditionalFormatting>
  <conditionalFormatting sqref="B116">
    <cfRule type="expression" dxfId="4" priority="5">
      <formula>$L119="Paid"</formula>
    </cfRule>
  </conditionalFormatting>
  <conditionalFormatting sqref="B117">
    <cfRule type="expression" dxfId="3" priority="3">
      <formula>$L119="Paid"</formula>
    </cfRule>
  </conditionalFormatting>
  <conditionalFormatting sqref="B16:I16 I37 I40:I41 B89:J89">
    <cfRule type="expression" dxfId="2" priority="69">
      <formula>$L15="Paid"</formula>
    </cfRule>
  </conditionalFormatting>
  <conditionalFormatting sqref="B129:I129 C130:I130">
    <cfRule type="expression" dxfId="1" priority="71">
      <formula>$L123="Paid"</formula>
    </cfRule>
  </conditionalFormatting>
  <conditionalFormatting sqref="I45 B61:G61 H61:J62 F62 E77:E78">
    <cfRule type="expression" dxfId="0" priority="10">
      <formula>$L46="Paid"</formula>
    </cfRule>
  </conditionalFormatting>
  <dataValidations count="1">
    <dataValidation type="list" allowBlank="1" showInputMessage="1" showErrorMessage="1" sqref="L5:L118" xr:uid="{A8D4ED99-9934-4923-B1DB-5D51FFDA64B2}">
      <formula1>"Paid,Unpaid"</formula1>
    </dataValidation>
  </dataValidations>
  <pageMargins left="0.25" right="0.25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B325-E6AD-4C0D-870B-7719EB6E0521}">
  <sheetPr codeName="Sheet2"/>
  <dimension ref="A1:J28"/>
  <sheetViews>
    <sheetView zoomScale="75" workbookViewId="0">
      <selection activeCell="F17" sqref="F17"/>
    </sheetView>
  </sheetViews>
  <sheetFormatPr defaultRowHeight="14.5" x14ac:dyDescent="0.35"/>
  <cols>
    <col min="1" max="1" width="44.1796875" bestFit="1" customWidth="1"/>
    <col min="2" max="2" width="71.453125" customWidth="1"/>
    <col min="3" max="3" width="27.7265625" customWidth="1"/>
    <col min="4" max="4" width="19.36328125" bestFit="1" customWidth="1"/>
    <col min="5" max="5" width="27" bestFit="1" customWidth="1"/>
    <col min="6" max="6" width="38.54296875" customWidth="1"/>
    <col min="7" max="7" width="32.453125" customWidth="1"/>
    <col min="8" max="8" width="58.90625" bestFit="1" customWidth="1"/>
    <col min="9" max="9" width="17.1796875" customWidth="1"/>
    <col min="10" max="10" width="14" bestFit="1" customWidth="1"/>
  </cols>
  <sheetData>
    <row r="1" spans="1:10" x14ac:dyDescent="0.35">
      <c r="A1" t="s">
        <v>17</v>
      </c>
    </row>
    <row r="3" spans="1:10" ht="71" customHeight="1" x14ac:dyDescent="0.35">
      <c r="A3" s="8" t="s">
        <v>0</v>
      </c>
      <c r="B3" s="11">
        <v>25</v>
      </c>
    </row>
    <row r="4" spans="1:10" ht="12" customHeight="1" x14ac:dyDescent="0.35"/>
    <row r="5" spans="1:10" ht="56" customHeight="1" x14ac:dyDescent="0.35">
      <c r="A5" s="13" t="s">
        <v>22</v>
      </c>
    </row>
    <row r="6" spans="1:10" ht="53" customHeight="1" x14ac:dyDescent="0.35">
      <c r="A6" s="26" t="s">
        <v>0</v>
      </c>
      <c r="B6" s="27" t="s">
        <v>1</v>
      </c>
      <c r="C6" s="26" t="s">
        <v>2</v>
      </c>
      <c r="D6" s="26" t="s">
        <v>3</v>
      </c>
      <c r="E6" s="26" t="s">
        <v>6</v>
      </c>
      <c r="F6" s="26" t="s">
        <v>24</v>
      </c>
      <c r="G6" s="28" t="s">
        <v>4</v>
      </c>
      <c r="H6" s="26" t="s">
        <v>7</v>
      </c>
      <c r="I6" s="29" t="s">
        <v>10</v>
      </c>
      <c r="J6" s="26" t="s">
        <v>15</v>
      </c>
    </row>
    <row r="7" spans="1:10" ht="63.5" customHeight="1" x14ac:dyDescent="0.35">
      <c r="A7" s="10">
        <f>INDEX(Table1[#All], MATCH($B$3, Table1[[#All],[Order No:]], 0), MATCH(A6, Sheet1!$A$4:$L$4, 0))</f>
        <v>25</v>
      </c>
      <c r="B7" s="10" t="str">
        <f>INDEX(Table1[#All], MATCH($B$3, Table1[[#All],[Order No:]], 0), MATCH(B6, Sheet1!$A$4:$L$4, 0))</f>
        <v>IRFAN</v>
      </c>
      <c r="C7" s="10" t="e">
        <f>INDEX(Table1[#All], MATCH($B$3, Table1[[#All],[Order No:]], 0), MATCH(C6, Sheet1!$A$4:$L$4, 0))</f>
        <v>#N/A</v>
      </c>
      <c r="D7" s="10" t="e">
        <f>INDEX(Table1[#All], MATCH($B$3, Table1[[#All],[Order No:]], 0), MATCH(D6, Sheet1!$A$4:$L$4, 0))</f>
        <v>#N/A</v>
      </c>
      <c r="E7" s="10">
        <f>INDEX(Table1[#All], MATCH($B$3, Table1[[#All],[Order No:]], 0), MATCH(E6, Sheet1!$A$4:$L$4, 0))</f>
        <v>0</v>
      </c>
      <c r="F7" s="10" t="e">
        <f>INDEX(Table1[#All], MATCH($B$3, Table1[[#All],[Order No:]], 0), MATCH(F6, Sheet1!$A$4:$L$4, 0))</f>
        <v>#N/A</v>
      </c>
      <c r="G7" s="10">
        <f>INDEX(Table1[#All], MATCH($B$3, Table1[[#All],[Order No:]], 0), MATCH(G6, Sheet1!$A$4:$L$4, 0))</f>
        <v>7910394346</v>
      </c>
      <c r="H7" s="10">
        <f>INDEX(Table1[#All], MATCH($B$3, Table1[[#All],[Order No:]], 0), MATCH(H6, Sheet1!$A$4:$L$4, 0))</f>
        <v>0</v>
      </c>
      <c r="I7" s="10">
        <f>INDEX(Table1[#All], MATCH($B$3, Table1[[#All],[Order No:]], 0), MATCH(I6, Sheet1!$A$4:$L$4, 0))</f>
        <v>48</v>
      </c>
      <c r="J7" s="10" t="str">
        <f>INDEX(Table1[#All], MATCH($B$3, Table1[[#All],[Order No:]], 0), MATCH(J6, Sheet1!$A$4:$L$4, 0))</f>
        <v>Paid</v>
      </c>
    </row>
    <row r="10" spans="1:10" ht="73.5" customHeight="1" x14ac:dyDescent="0.35">
      <c r="A10" s="9" t="s">
        <v>18</v>
      </c>
      <c r="B10" s="11">
        <v>7427147759</v>
      </c>
      <c r="F10">
        <f>MATCH($B$3, Table1[[#All],[Order No:]], 0)</f>
        <v>5</v>
      </c>
      <c r="G10" t="e">
        <f>MATCH(F6, Sheet1!$A$4:$L$4, 0)</f>
        <v>#N/A</v>
      </c>
    </row>
    <row r="11" spans="1:10" x14ac:dyDescent="0.35">
      <c r="C11" s="7"/>
    </row>
    <row r="12" spans="1:10" ht="57.5" customHeight="1" x14ac:dyDescent="0.35">
      <c r="A12" s="12" t="s">
        <v>23</v>
      </c>
      <c r="H12" t="s">
        <v>21</v>
      </c>
    </row>
    <row r="13" spans="1:10" ht="43.5" customHeight="1" x14ac:dyDescent="0.35">
      <c r="A13" s="22" t="s">
        <v>0</v>
      </c>
      <c r="B13" s="23" t="s">
        <v>1</v>
      </c>
      <c r="C13" s="22" t="s">
        <v>2</v>
      </c>
      <c r="D13" s="22" t="s">
        <v>3</v>
      </c>
      <c r="E13" s="22" t="s">
        <v>6</v>
      </c>
      <c r="F13" s="26" t="s">
        <v>24</v>
      </c>
      <c r="G13" s="24" t="s">
        <v>4</v>
      </c>
      <c r="H13" s="22" t="s">
        <v>7</v>
      </c>
      <c r="I13" s="25" t="s">
        <v>10</v>
      </c>
      <c r="J13" s="22" t="s">
        <v>15</v>
      </c>
    </row>
    <row r="14" spans="1:10" ht="71" customHeight="1" x14ac:dyDescent="0.35">
      <c r="A14" s="11" t="e">
        <f>INDEX(Table1[#All], MATCH($B$10,Table1[[#All],[Number]], 0), MATCH(A6, Sheet1!$A$4:$L$4, 0))</f>
        <v>#N/A</v>
      </c>
      <c r="B14" s="11" t="e">
        <f>INDEX(Table1[#All], MATCH($B$10,Table1[[#All],[Number]], 0), MATCH(B6, Sheet1!$A$4:$L$4, 0))</f>
        <v>#N/A</v>
      </c>
      <c r="C14" s="11" t="e">
        <f>INDEX(Table1[#All], MATCH($B$10,Table1[[#All],[Number]], 0), MATCH(C6, Sheet1!$A$4:$L$4, 0))</f>
        <v>#N/A</v>
      </c>
      <c r="D14" s="11" t="e">
        <f>INDEX(Table1[#All], MATCH($B$10,Table1[[#All],[Number]], 0), MATCH(D6, Sheet1!$A$4:$L$4, 0))</f>
        <v>#N/A</v>
      </c>
      <c r="E14" s="11" t="e">
        <f>INDEX(Table1[#All], MATCH($B$10,Table1[[#All],[Number]], 0), MATCH(E6, Sheet1!$A$4:$L$4, 0))</f>
        <v>#N/A</v>
      </c>
      <c r="F14" s="11"/>
      <c r="G14" s="11" t="e">
        <f>INDEX(Table1[#All], MATCH($B$10,Table1[[#All],[Number]], 0), MATCH(G6, Sheet1!$A$4:$L$4, 0))</f>
        <v>#N/A</v>
      </c>
      <c r="H14" s="11" t="e">
        <f>INDEX(Table1[#All], MATCH($B$10,Table1[[#All],[Number]], 0), MATCH(H6, Sheet1!$A$4:$L$4, 0))</f>
        <v>#N/A</v>
      </c>
      <c r="I14" s="11" t="e">
        <f>INDEX(Table1[#All], MATCH($B$10,Table1[[#All],[Number]], 0), MATCH(I6, Sheet1!$A$4:$L$4, 0))</f>
        <v>#N/A</v>
      </c>
      <c r="J14" s="11" t="e">
        <f>INDEX(Table1[#All], MATCH($B$10,Table1[[#All],[Number]], 0), MATCH(J6, Sheet1!$A$4:$L$4, 0))</f>
        <v>#N/A</v>
      </c>
    </row>
    <row r="16" spans="1:10" ht="15" customHeight="1" x14ac:dyDescent="0.35"/>
    <row r="18" spans="2:10" x14ac:dyDescent="0.35">
      <c r="B18" t="e">
        <f>MATCH($B$10,Table1[[#All],[Number]], 0)</f>
        <v>#N/A</v>
      </c>
    </row>
    <row r="19" spans="2:10" x14ac:dyDescent="0.35">
      <c r="B19">
        <f>MATCH(B6, Sheet1!$A$4:$L$4, 0)</f>
        <v>2</v>
      </c>
    </row>
    <row r="20" spans="2:10" x14ac:dyDescent="0.35">
      <c r="J20" t="e">
        <f>INDEX(Sheet1!$A$4:$L$103, MATCH($B$10, Table1[[#All],[Number]], 0), MATCH(J6, Sheet1!$A$4:$L$4, 0))</f>
        <v>#N/A</v>
      </c>
    </row>
    <row r="23" spans="2:10" ht="78" customHeight="1" x14ac:dyDescent="0.35">
      <c r="B23" s="5">
        <f>MATCH($B$3, Table1[[#All],[Order No:]], 0)</f>
        <v>5</v>
      </c>
      <c r="C23" s="5">
        <f>MATCH(B6, Sheet1!$A$4:$L$4, 0)</f>
        <v>2</v>
      </c>
    </row>
    <row r="27" spans="2:10" x14ac:dyDescent="0.35">
      <c r="B27">
        <f>MATCH($B$3,Sheet1!A4:A118, 0)</f>
        <v>5</v>
      </c>
    </row>
    <row r="28" spans="2:10" x14ac:dyDescent="0.35">
      <c r="B28">
        <f>MATCH($B$3, Table1[[#All],[Order No:]], 0)</f>
        <v>5</v>
      </c>
    </row>
  </sheetData>
  <dataValidations count="1">
    <dataValidation type="list" allowBlank="1" showInputMessage="1" showErrorMessage="1" sqref="A3" xr:uid="{41134CDD-94E7-41B7-8CDC-9E27EF748655}">
      <formula1>"Order No:,Number"</formula1>
    </dataValidation>
  </dataValidation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Sehbaan Ali</dc:creator>
  <cp:lastModifiedBy>Sehbaan Ali</cp:lastModifiedBy>
  <cp:lastPrinted>2025-06-05T23:33:21Z</cp:lastPrinted>
  <dcterms:created xsi:type="dcterms:W3CDTF">2024-04-08T16:13:22Z</dcterms:created>
  <dcterms:modified xsi:type="dcterms:W3CDTF">2026-03-16T14:29:30Z</dcterms:modified>
</cp:coreProperties>
</file>